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 activeTab="4"/>
  </bookViews>
  <sheets>
    <sheet name="TILE INFO" sheetId="1" r:id="rId1"/>
    <sheet name="WORLD0" sheetId="13" r:id="rId2"/>
    <sheet name="WORLD1" sheetId="14" r:id="rId3"/>
    <sheet name="WORLD2" sheetId="15" r:id="rId4"/>
    <sheet name="WORLD3" sheetId="16" r:id="rId5"/>
    <sheet name="Hoja1" sheetId="11" state="hidden" r:id="rId6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2" i="16" l="1"/>
  <c r="F171" i="16"/>
  <c r="F170" i="16"/>
  <c r="F169" i="16"/>
  <c r="F168" i="16"/>
  <c r="F167" i="16"/>
  <c r="F166" i="16"/>
  <c r="F165" i="16"/>
  <c r="W26" i="16"/>
  <c r="W25" i="16"/>
  <c r="W24" i="16"/>
  <c r="W23" i="16"/>
  <c r="W22" i="16"/>
  <c r="W21" i="16"/>
  <c r="W20" i="16"/>
  <c r="W19" i="16"/>
  <c r="E47" i="15"/>
  <c r="E46" i="15"/>
  <c r="E45" i="15"/>
  <c r="E44" i="15"/>
  <c r="E43" i="15"/>
  <c r="E42" i="15"/>
  <c r="E41" i="15"/>
  <c r="E40" i="15"/>
  <c r="E64" i="14"/>
  <c r="E63" i="14"/>
  <c r="E62" i="14"/>
  <c r="E61" i="14"/>
  <c r="E60" i="14"/>
  <c r="E59" i="14"/>
  <c r="E58" i="14"/>
  <c r="E57" i="14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<sst xmlns="http://schemas.openxmlformats.org/spreadsheetml/2006/main" count="264" uniqueCount="191">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</sst>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0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sz val="12"/>
      <color theme="4" tint="0.79998168889431442"/>
      <name val="Lucida Console"/>
      <family val="2"/>
    </font>
    <font>
      <b/>
      <sz val="12"/>
      <color rgb="FFFFC000"/>
      <name val="Lucida Console"/>
      <family val="2"/>
    </font>
    <font>
      <b/>
      <sz val="20"/>
      <color rgb="FF000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92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7" fillId="2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9" fillId="2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50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2" fillId="0" borderId="0" xfId="0" applyFont="1" applyBorder="1" applyProtection="1"/>
    <xf numFmtId="0" fontId="53" fillId="3" borderId="0" xfId="0" applyFont="1" applyFill="1" applyBorder="1" applyAlignment="1" applyProtection="1">
      <alignment horizontal="center" vertical="center"/>
    </xf>
    <xf numFmtId="0" fontId="53" fillId="3" borderId="1" xfId="0" applyFont="1" applyFill="1" applyBorder="1" applyAlignment="1" applyProtection="1">
      <alignment horizontal="center" vertical="center"/>
    </xf>
    <xf numFmtId="0" fontId="53" fillId="16" borderId="0" xfId="0" applyFont="1" applyFill="1" applyBorder="1" applyAlignment="1" applyProtection="1">
      <alignment horizontal="center" vertical="center"/>
    </xf>
    <xf numFmtId="0" fontId="53" fillId="16" borderId="3" xfId="0" applyFont="1" applyFill="1" applyBorder="1" applyAlignment="1" applyProtection="1">
      <alignment horizontal="center" vertical="center"/>
    </xf>
    <xf numFmtId="0" fontId="53" fillId="16" borderId="1" xfId="0" applyFont="1" applyFill="1" applyBorder="1" applyAlignment="1" applyProtection="1">
      <alignment horizontal="center" vertical="center"/>
    </xf>
    <xf numFmtId="0" fontId="54" fillId="11" borderId="0" xfId="0" applyFont="1" applyFill="1" applyBorder="1" applyAlignment="1" applyProtection="1">
      <alignment horizontal="center" vertical="center"/>
      <protection locked="0"/>
    </xf>
    <xf numFmtId="0" fontId="53" fillId="2" borderId="0" xfId="0" applyFont="1" applyFill="1" applyBorder="1" applyAlignment="1" applyProtection="1">
      <alignment horizontal="center" vertical="center"/>
      <protection locked="0"/>
    </xf>
    <xf numFmtId="0" fontId="53" fillId="2" borderId="1" xfId="0" applyFont="1" applyFill="1" applyBorder="1" applyAlignment="1" applyProtection="1">
      <alignment horizontal="center" vertical="center"/>
      <protection locked="0"/>
    </xf>
    <xf numFmtId="0" fontId="55" fillId="5" borderId="0" xfId="0" applyFont="1" applyFill="1" applyBorder="1" applyAlignment="1" applyProtection="1">
      <alignment horizontal="center" vertical="center"/>
      <protection locked="0"/>
    </xf>
    <xf numFmtId="0" fontId="55" fillId="5" borderId="1" xfId="0" applyFont="1" applyFill="1" applyBorder="1" applyAlignment="1" applyProtection="1">
      <alignment horizontal="center" vertical="center"/>
      <protection locked="0"/>
    </xf>
    <xf numFmtId="0" fontId="56" fillId="17" borderId="0" xfId="0" applyFont="1" applyFill="1" applyAlignment="1">
      <alignment horizontal="center" vertical="center"/>
    </xf>
    <xf numFmtId="0" fontId="53" fillId="2" borderId="3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Border="1" applyAlignment="1">
      <alignment horizontal="center" vertical="center"/>
    </xf>
    <xf numFmtId="0" fontId="58" fillId="10" borderId="2" xfId="0" applyFont="1" applyFill="1" applyBorder="1" applyAlignment="1">
      <alignment horizontal="center" vertical="center"/>
    </xf>
    <xf numFmtId="0" fontId="59" fillId="3" borderId="2" xfId="0" applyFont="1" applyFill="1" applyBorder="1" applyAlignment="1">
      <alignment horizontal="center" vertical="center"/>
    </xf>
    <xf numFmtId="0" fontId="60" fillId="2" borderId="0" xfId="0" applyFont="1" applyFill="1" applyBorder="1" applyAlignment="1" applyProtection="1">
      <alignment horizontal="center" vertical="center"/>
      <protection locked="0"/>
    </xf>
    <xf numFmtId="0" fontId="52" fillId="6" borderId="0" xfId="0" applyFont="1" applyFill="1" applyBorder="1" applyAlignment="1">
      <alignment horizontal="center" vertical="center"/>
    </xf>
    <xf numFmtId="0" fontId="61" fillId="4" borderId="17" xfId="0" applyFont="1" applyFill="1" applyBorder="1" applyAlignment="1">
      <alignment horizontal="center" vertical="center"/>
    </xf>
    <xf numFmtId="0" fontId="53" fillId="3" borderId="0" xfId="0" applyFont="1" applyFill="1" applyBorder="1" applyAlignment="1" applyProtection="1">
      <alignment horizontal="center" vertical="center"/>
      <protection locked="0"/>
    </xf>
    <xf numFmtId="0" fontId="60" fillId="28" borderId="2" xfId="0" applyFont="1" applyFill="1" applyBorder="1" applyAlignment="1">
      <alignment horizontal="center" vertical="center"/>
    </xf>
    <xf numFmtId="0" fontId="58" fillId="3" borderId="0" xfId="0" applyFont="1" applyFill="1" applyBorder="1" applyAlignment="1">
      <alignment horizontal="center" vertical="center"/>
    </xf>
    <xf numFmtId="0" fontId="63" fillId="3" borderId="0" xfId="0" applyFont="1" applyFill="1" applyBorder="1" applyAlignment="1" applyProtection="1">
      <alignment horizontal="center" vertical="center"/>
      <protection locked="0"/>
    </xf>
    <xf numFmtId="0" fontId="53" fillId="3" borderId="1" xfId="0" applyFont="1" applyFill="1" applyBorder="1" applyAlignment="1" applyProtection="1">
      <alignment horizontal="center" vertical="center"/>
      <protection locked="0"/>
    </xf>
    <xf numFmtId="0" fontId="64" fillId="4" borderId="2" xfId="0" applyFont="1" applyFill="1" applyBorder="1" applyAlignment="1">
      <alignment horizontal="center" vertical="center"/>
    </xf>
    <xf numFmtId="0" fontId="53" fillId="3" borderId="3" xfId="0" applyFont="1" applyFill="1" applyBorder="1" applyAlignment="1" applyProtection="1">
      <alignment horizontal="center" vertical="center"/>
      <protection locked="0"/>
    </xf>
    <xf numFmtId="0" fontId="55" fillId="4" borderId="2" xfId="0" applyFont="1" applyFill="1" applyBorder="1" applyAlignment="1">
      <alignment horizontal="center" vertical="center"/>
    </xf>
    <xf numFmtId="0" fontId="64" fillId="3" borderId="0" xfId="0" applyFont="1" applyFill="1" applyBorder="1" applyAlignment="1" applyProtection="1">
      <alignment horizontal="center" vertical="center"/>
      <protection locked="0"/>
    </xf>
    <xf numFmtId="0" fontId="66" fillId="16" borderId="0" xfId="0" applyFont="1" applyFill="1" applyBorder="1" applyAlignment="1" applyProtection="1">
      <alignment horizontal="center" vertical="center"/>
      <protection locked="0"/>
    </xf>
    <xf numFmtId="0" fontId="54" fillId="11" borderId="1" xfId="0" applyFont="1" applyFill="1" applyBorder="1" applyAlignment="1" applyProtection="1">
      <alignment horizontal="center" vertical="center"/>
      <protection locked="0"/>
    </xf>
    <xf numFmtId="0" fontId="60" fillId="4" borderId="0" xfId="0" applyFont="1" applyFill="1" applyBorder="1" applyAlignment="1" applyProtection="1">
      <alignment horizontal="center" vertical="center"/>
      <protection locked="0"/>
    </xf>
    <xf numFmtId="0" fontId="55" fillId="18" borderId="2" xfId="0" applyFont="1" applyFill="1" applyBorder="1" applyAlignment="1">
      <alignment horizontal="center" vertical="center"/>
    </xf>
    <xf numFmtId="0" fontId="67" fillId="3" borderId="0" xfId="0" applyFont="1" applyFill="1" applyBorder="1" applyAlignment="1" applyProtection="1">
      <alignment horizontal="center" vertical="center"/>
      <protection locked="0"/>
    </xf>
    <xf numFmtId="0" fontId="52" fillId="6" borderId="3" xfId="0" applyFont="1" applyFill="1" applyBorder="1" applyAlignment="1">
      <alignment horizontal="center" vertical="center"/>
    </xf>
    <xf numFmtId="0" fontId="55" fillId="22" borderId="0" xfId="0" applyFont="1" applyFill="1" applyBorder="1" applyAlignment="1" applyProtection="1">
      <alignment horizontal="center" vertical="center"/>
      <protection locked="0"/>
    </xf>
    <xf numFmtId="0" fontId="52" fillId="6" borderId="1" xfId="0" applyFont="1" applyFill="1" applyBorder="1" applyAlignment="1">
      <alignment horizontal="center" vertical="center"/>
    </xf>
    <xf numFmtId="0" fontId="58" fillId="3" borderId="2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68" fillId="31" borderId="2" xfId="0" applyFont="1" applyFill="1" applyBorder="1" applyAlignment="1">
      <alignment horizontal="center" vertical="center"/>
    </xf>
    <xf numFmtId="0" fontId="69" fillId="16" borderId="0" xfId="0" applyFont="1" applyFill="1" applyAlignment="1" applyProtection="1">
      <alignment horizontal="center" vertical="center"/>
      <protection locked="0"/>
    </xf>
    <xf numFmtId="0" fontId="70" fillId="5" borderId="0" xfId="0" applyFont="1" applyFill="1" applyBorder="1" applyAlignment="1" applyProtection="1">
      <alignment horizontal="center" vertical="center"/>
      <protection locked="0"/>
    </xf>
    <xf numFmtId="0" fontId="61" fillId="4" borderId="2" xfId="0" applyFont="1" applyFill="1" applyBorder="1" applyAlignment="1">
      <alignment horizontal="center" vertical="center"/>
    </xf>
    <xf numFmtId="0" fontId="61" fillId="4" borderId="18" xfId="0" applyFont="1" applyFill="1" applyBorder="1" applyAlignment="1">
      <alignment horizontal="center" vertical="center"/>
    </xf>
    <xf numFmtId="0" fontId="62" fillId="3" borderId="1" xfId="0" applyFont="1" applyFill="1" applyBorder="1" applyAlignment="1" applyProtection="1">
      <alignment horizontal="center" vertical="center"/>
      <protection locked="0"/>
    </xf>
    <xf numFmtId="0" fontId="60" fillId="3" borderId="0" xfId="0" applyFont="1" applyFill="1" applyBorder="1" applyAlignment="1" applyProtection="1">
      <alignment horizontal="center" vertical="center"/>
      <protection locked="0"/>
    </xf>
    <xf numFmtId="0" fontId="71" fillId="4" borderId="0" xfId="0" applyFont="1" applyFill="1" applyBorder="1" applyAlignment="1" applyProtection="1">
      <alignment horizontal="center" vertical="center"/>
      <protection locked="0"/>
    </xf>
    <xf numFmtId="0" fontId="55" fillId="4" borderId="0" xfId="0" applyFont="1" applyFill="1" applyBorder="1" applyAlignment="1" applyProtection="1">
      <alignment horizontal="center" vertical="center"/>
      <protection locked="0"/>
    </xf>
    <xf numFmtId="0" fontId="55" fillId="5" borderId="2" xfId="0" applyFont="1" applyFill="1" applyBorder="1" applyAlignment="1">
      <alignment horizontal="center" vertical="center"/>
    </xf>
    <xf numFmtId="0" fontId="65" fillId="12" borderId="0" xfId="0" applyFont="1" applyFill="1" applyBorder="1" applyAlignment="1" applyProtection="1">
      <alignment horizontal="center" vertical="center"/>
      <protection locked="0"/>
    </xf>
    <xf numFmtId="0" fontId="58" fillId="8" borderId="0" xfId="0" applyFont="1" applyFill="1" applyBorder="1" applyAlignment="1" applyProtection="1">
      <alignment horizontal="center" vertical="center"/>
      <protection locked="0"/>
    </xf>
    <xf numFmtId="0" fontId="58" fillId="8" borderId="3" xfId="0" applyFont="1" applyFill="1" applyBorder="1" applyAlignment="1" applyProtection="1">
      <alignment horizontal="center" vertical="center"/>
      <protection locked="0"/>
    </xf>
    <xf numFmtId="0" fontId="58" fillId="8" borderId="1" xfId="0" applyFont="1" applyFill="1" applyBorder="1" applyAlignment="1" applyProtection="1">
      <alignment horizontal="center" vertical="center"/>
      <protection locked="0"/>
    </xf>
    <xf numFmtId="0" fontId="72" fillId="5" borderId="0" xfId="0" applyFont="1" applyFill="1" applyBorder="1" applyAlignment="1" applyProtection="1">
      <alignment horizontal="center" vertical="center"/>
      <protection locked="0"/>
    </xf>
    <xf numFmtId="0" fontId="64" fillId="3" borderId="1" xfId="0" applyFont="1" applyFill="1" applyBorder="1" applyAlignment="1" applyProtection="1">
      <alignment horizontal="center" vertical="center"/>
      <protection locked="0"/>
    </xf>
    <xf numFmtId="0" fontId="68" fillId="16" borderId="0" xfId="0" applyFont="1" applyFill="1" applyAlignment="1">
      <alignment horizontal="center" vertical="center"/>
    </xf>
    <xf numFmtId="0" fontId="55" fillId="4" borderId="1" xfId="0" applyFont="1" applyFill="1" applyBorder="1" applyAlignment="1" applyProtection="1">
      <alignment horizontal="center" vertical="center"/>
      <protection locked="0"/>
    </xf>
    <xf numFmtId="0" fontId="53" fillId="16" borderId="0" xfId="0" applyFont="1" applyFill="1" applyAlignment="1" applyProtection="1">
      <alignment horizontal="center" vertical="center"/>
      <protection locked="0"/>
    </xf>
    <xf numFmtId="0" fontId="73" fillId="3" borderId="0" xfId="0" applyFont="1" applyFill="1" applyBorder="1" applyAlignment="1" applyProtection="1">
      <alignment horizontal="center" vertical="center"/>
      <protection locked="0"/>
    </xf>
    <xf numFmtId="0" fontId="74" fillId="7" borderId="0" xfId="0" applyFont="1" applyFill="1" applyBorder="1" applyAlignment="1">
      <alignment horizontal="center" vertical="center"/>
    </xf>
    <xf numFmtId="0" fontId="74" fillId="19" borderId="0" xfId="0" applyFont="1" applyFill="1" applyBorder="1" applyAlignment="1">
      <alignment horizontal="center" vertical="center"/>
    </xf>
    <xf numFmtId="0" fontId="75" fillId="4" borderId="2" xfId="0" applyFont="1" applyFill="1" applyBorder="1" applyAlignment="1">
      <alignment horizontal="center" vertical="center"/>
    </xf>
    <xf numFmtId="0" fontId="75" fillId="11" borderId="2" xfId="0" applyFont="1" applyFill="1" applyBorder="1" applyAlignment="1">
      <alignment horizontal="center" vertical="center"/>
    </xf>
    <xf numFmtId="0" fontId="74" fillId="5" borderId="0" xfId="0" applyFont="1" applyFill="1" applyBorder="1" applyAlignment="1" applyProtection="1">
      <alignment horizontal="center" vertical="center"/>
      <protection locked="0"/>
    </xf>
    <xf numFmtId="0" fontId="74" fillId="5" borderId="0" xfId="0" applyFont="1" applyFill="1" applyBorder="1" applyAlignment="1">
      <alignment horizontal="center" vertical="center"/>
    </xf>
    <xf numFmtId="0" fontId="74" fillId="5" borderId="3" xfId="0" applyFont="1" applyFill="1" applyBorder="1" applyAlignment="1" applyProtection="1">
      <alignment horizontal="center" vertical="center"/>
      <protection locked="0"/>
    </xf>
    <xf numFmtId="0" fontId="52" fillId="0" borderId="0" xfId="0" applyFont="1"/>
    <xf numFmtId="0" fontId="52" fillId="0" borderId="0" xfId="0" applyFont="1" applyBorder="1"/>
    <xf numFmtId="0" fontId="52" fillId="0" borderId="1" xfId="0" applyFont="1" applyBorder="1"/>
    <xf numFmtId="0" fontId="52" fillId="0" borderId="3" xfId="0" applyFont="1" applyBorder="1"/>
    <xf numFmtId="0" fontId="52" fillId="25" borderId="6" xfId="0" applyFont="1" applyFill="1" applyBorder="1"/>
    <xf numFmtId="0" fontId="52" fillId="25" borderId="7" xfId="0" applyFont="1" applyFill="1" applyBorder="1"/>
    <xf numFmtId="0" fontId="52" fillId="13" borderId="14" xfId="0" applyFont="1" applyFill="1" applyBorder="1" applyAlignment="1">
      <alignment horizontal="center"/>
    </xf>
    <xf numFmtId="0" fontId="52" fillId="24" borderId="8" xfId="0" applyFont="1" applyFill="1" applyBorder="1" applyAlignment="1">
      <alignment horizontal="center"/>
    </xf>
    <xf numFmtId="0" fontId="52" fillId="25" borderId="9" xfId="0" applyFont="1" applyFill="1" applyBorder="1"/>
    <xf numFmtId="0" fontId="52" fillId="25" borderId="0" xfId="0" applyFont="1" applyFill="1" applyBorder="1"/>
    <xf numFmtId="0" fontId="52" fillId="13" borderId="15" xfId="0" applyFont="1" applyFill="1" applyBorder="1" applyAlignment="1">
      <alignment horizontal="center"/>
    </xf>
    <xf numFmtId="0" fontId="52" fillId="24" borderId="10" xfId="0" applyFont="1" applyFill="1" applyBorder="1" applyAlignment="1">
      <alignment horizontal="center"/>
    </xf>
    <xf numFmtId="0" fontId="52" fillId="25" borderId="11" xfId="0" applyFont="1" applyFill="1" applyBorder="1"/>
    <xf numFmtId="0" fontId="52" fillId="25" borderId="12" xfId="0" applyFont="1" applyFill="1" applyBorder="1"/>
    <xf numFmtId="0" fontId="52" fillId="13" borderId="16" xfId="0" applyFont="1" applyFill="1" applyBorder="1" applyAlignment="1">
      <alignment horizontal="center"/>
    </xf>
    <xf numFmtId="0" fontId="52" fillId="24" borderId="13" xfId="0" applyFont="1" applyFill="1" applyBorder="1" applyAlignment="1">
      <alignment horizontal="center"/>
    </xf>
    <xf numFmtId="0" fontId="76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4" fillId="16" borderId="0" xfId="0" applyFont="1" applyFill="1" applyAlignment="1" applyProtection="1">
      <alignment horizontal="center" vertical="center"/>
      <protection locked="0"/>
    </xf>
    <xf numFmtId="0" fontId="68" fillId="31" borderId="19" xfId="0" applyFont="1" applyFill="1" applyBorder="1" applyAlignment="1">
      <alignment horizontal="center" vertical="center"/>
    </xf>
    <xf numFmtId="0" fontId="68" fillId="31" borderId="18" xfId="0" applyFont="1" applyFill="1" applyBorder="1" applyAlignment="1">
      <alignment horizontal="center" vertical="center"/>
    </xf>
    <xf numFmtId="0" fontId="68" fillId="31" borderId="20" xfId="0" applyFont="1" applyFill="1" applyBorder="1" applyAlignment="1">
      <alignment horizontal="center" vertical="center"/>
    </xf>
    <xf numFmtId="0" fontId="77" fillId="33" borderId="20" xfId="0" applyFont="1" applyFill="1" applyBorder="1" applyAlignment="1">
      <alignment horizontal="center" vertical="center"/>
    </xf>
    <xf numFmtId="0" fontId="77" fillId="33" borderId="18" xfId="0" applyFont="1" applyFill="1" applyBorder="1" applyAlignment="1">
      <alignment horizontal="center" vertical="center"/>
    </xf>
    <xf numFmtId="0" fontId="76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8" fillId="10" borderId="18" xfId="0" applyFont="1" applyFill="1" applyBorder="1" applyAlignment="1">
      <alignment horizontal="center" vertical="center"/>
    </xf>
    <xf numFmtId="0" fontId="58" fillId="3" borderId="18" xfId="0" applyFont="1" applyFill="1" applyBorder="1" applyAlignment="1">
      <alignment horizontal="center" vertical="center"/>
    </xf>
    <xf numFmtId="0" fontId="78" fillId="3" borderId="0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2" fillId="0" borderId="0" xfId="0" applyFont="1" applyBorder="1" applyAlignment="1">
      <alignment horizontal="center"/>
    </xf>
    <xf numFmtId="0" fontId="52" fillId="0" borderId="1" xfId="0" applyFont="1" applyBorder="1" applyAlignment="1">
      <alignment horizontal="center"/>
    </xf>
    <xf numFmtId="0" fontId="56" fillId="0" borderId="3" xfId="0" applyFont="1" applyBorder="1" applyAlignment="1">
      <alignment horizontal="center"/>
    </xf>
    <xf numFmtId="0" fontId="56" fillId="0" borderId="0" xfId="0" applyFont="1" applyBorder="1" applyAlignment="1">
      <alignment horizontal="center"/>
    </xf>
    <xf numFmtId="0" fontId="56" fillId="0" borderId="4" xfId="0" applyFont="1" applyBorder="1" applyAlignment="1">
      <alignment horizontal="center"/>
    </xf>
    <xf numFmtId="0" fontId="56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65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7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6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52" fillId="13" borderId="0" xfId="0" applyFont="1" applyFill="1" applyBorder="1" applyAlignment="1">
      <alignment horizontal="center"/>
    </xf>
    <xf numFmtId="0" fontId="52" fillId="24" borderId="0" xfId="0" applyFont="1" applyFill="1" applyBorder="1" applyAlignment="1">
      <alignment horizontal="center"/>
    </xf>
    <xf numFmtId="0" fontId="7" fillId="34" borderId="2" xfId="0" applyFont="1" applyFill="1" applyBorder="1" applyAlignment="1">
      <alignment horizontal="center" vertical="center"/>
    </xf>
    <xf numFmtId="0" fontId="77" fillId="35" borderId="2" xfId="0" applyFont="1" applyFill="1" applyBorder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0" fontId="79" fillId="5" borderId="2" xfId="0" applyFont="1" applyFill="1" applyBorder="1" applyAlignment="1">
      <alignment horizontal="center" vertical="center"/>
    </xf>
    <xf numFmtId="0" fontId="69" fillId="16" borderId="1" xfId="0" applyFont="1" applyFill="1" applyBorder="1" applyAlignment="1" applyProtection="1">
      <alignment horizontal="center" vertical="center"/>
      <protection locked="0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283633</xdr:colOff>
      <xdr:row>23</xdr:row>
      <xdr:rowOff>139700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10083800" cy="4521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F165"/>
  <sheetViews>
    <sheetView topLeftCell="A92" zoomScale="120" zoomScaleNormal="120" workbookViewId="0">
      <selection activeCell="A99" sqref="A99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30</v>
      </c>
    </row>
    <row r="11" spans="1:2" x14ac:dyDescent="0.2">
      <c r="A11" s="7">
        <v>10</v>
      </c>
      <c r="B11" s="5" t="s">
        <v>31</v>
      </c>
    </row>
    <row r="12" spans="1:2" x14ac:dyDescent="0.2">
      <c r="A12" s="8">
        <v>11</v>
      </c>
      <c r="B12" s="5" t="s">
        <v>164</v>
      </c>
    </row>
    <row r="13" spans="1:2" x14ac:dyDescent="0.2">
      <c r="A13" s="8">
        <v>12</v>
      </c>
      <c r="B13" s="5" t="s">
        <v>165</v>
      </c>
    </row>
    <row r="14" spans="1:2" x14ac:dyDescent="0.2">
      <c r="A14" s="9">
        <v>13</v>
      </c>
      <c r="B14" s="5" t="s">
        <v>28</v>
      </c>
    </row>
    <row r="15" spans="1:2" x14ac:dyDescent="0.2">
      <c r="A15" s="9">
        <v>14</v>
      </c>
      <c r="B15" s="5" t="s">
        <v>29</v>
      </c>
    </row>
    <row r="16" spans="1:2" x14ac:dyDescent="0.2">
      <c r="A16" s="35">
        <v>15</v>
      </c>
      <c r="B16" s="5" t="s">
        <v>96</v>
      </c>
    </row>
    <row r="17" spans="1:2" x14ac:dyDescent="0.2">
      <c r="A17" s="9">
        <v>16</v>
      </c>
      <c r="B17" s="5" t="s">
        <v>32</v>
      </c>
    </row>
    <row r="18" spans="1:2" x14ac:dyDescent="0.2">
      <c r="A18" s="9">
        <v>17</v>
      </c>
      <c r="B18" s="5" t="s">
        <v>33</v>
      </c>
    </row>
    <row r="19" spans="1:2" x14ac:dyDescent="0.2">
      <c r="A19" s="9">
        <v>18</v>
      </c>
      <c r="B19" s="5" t="s">
        <v>34</v>
      </c>
    </row>
    <row r="20" spans="1:2" x14ac:dyDescent="0.2">
      <c r="A20" s="9">
        <v>19</v>
      </c>
      <c r="B20" s="5" t="s">
        <v>35</v>
      </c>
    </row>
    <row r="21" spans="1:2" x14ac:dyDescent="0.2">
      <c r="A21" s="10">
        <v>20</v>
      </c>
      <c r="B21" s="5" t="s">
        <v>27</v>
      </c>
    </row>
    <row r="22" spans="1:2" x14ac:dyDescent="0.2">
      <c r="A22" s="10">
        <v>21</v>
      </c>
      <c r="B22" s="5" t="s">
        <v>26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36</v>
      </c>
    </row>
    <row r="25" spans="1:2" x14ac:dyDescent="0.2">
      <c r="A25" s="37">
        <v>24</v>
      </c>
      <c r="B25" s="5" t="s">
        <v>175</v>
      </c>
    </row>
    <row r="26" spans="1:2" x14ac:dyDescent="0.2">
      <c r="A26" s="34">
        <v>25</v>
      </c>
      <c r="B26" s="5" t="s">
        <v>97</v>
      </c>
    </row>
    <row r="27" spans="1:2" x14ac:dyDescent="0.2">
      <c r="A27" s="13">
        <v>26</v>
      </c>
      <c r="B27" s="5" t="s">
        <v>98</v>
      </c>
    </row>
    <row r="28" spans="1:2" x14ac:dyDescent="0.2">
      <c r="A28" s="12">
        <v>27</v>
      </c>
      <c r="B28" s="5" t="s">
        <v>141</v>
      </c>
    </row>
    <row r="29" spans="1:2" x14ac:dyDescent="0.2">
      <c r="A29" s="12">
        <v>28</v>
      </c>
      <c r="B29" s="5" t="s">
        <v>142</v>
      </c>
    </row>
    <row r="30" spans="1:2" x14ac:dyDescent="0.2">
      <c r="A30" s="12">
        <v>29</v>
      </c>
      <c r="B30" s="5" t="s">
        <v>162</v>
      </c>
    </row>
    <row r="31" spans="1:2" x14ac:dyDescent="0.2">
      <c r="A31" s="12">
        <v>30</v>
      </c>
      <c r="B31" s="5" t="s">
        <v>161</v>
      </c>
    </row>
    <row r="32" spans="1:2" x14ac:dyDescent="0.2">
      <c r="A32" s="12">
        <v>31</v>
      </c>
      <c r="B32" s="5" t="s">
        <v>163</v>
      </c>
    </row>
    <row r="33" spans="1:4" x14ac:dyDescent="0.2">
      <c r="A33" s="33">
        <v>32</v>
      </c>
      <c r="B33" s="5" t="s">
        <v>130</v>
      </c>
    </row>
    <row r="34" spans="1:4" x14ac:dyDescent="0.2">
      <c r="A34" s="33">
        <v>33</v>
      </c>
      <c r="B34" s="5" t="s">
        <v>129</v>
      </c>
    </row>
    <row r="35" spans="1:4" x14ac:dyDescent="0.2">
      <c r="A35" s="33">
        <v>34</v>
      </c>
      <c r="B35" s="5" t="s">
        <v>131</v>
      </c>
    </row>
    <row r="36" spans="1:4" x14ac:dyDescent="0.2">
      <c r="A36" s="33">
        <v>35</v>
      </c>
      <c r="D36" s="3" t="s">
        <v>117</v>
      </c>
    </row>
    <row r="37" spans="1:4" x14ac:dyDescent="0.2">
      <c r="A37" s="2">
        <v>36</v>
      </c>
      <c r="B37" s="5" t="s">
        <v>1</v>
      </c>
      <c r="C37" s="3" t="s">
        <v>64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126</v>
      </c>
    </row>
    <row r="42" spans="1:4" x14ac:dyDescent="0.2">
      <c r="A42" s="17">
        <v>41</v>
      </c>
      <c r="B42" s="5" t="s">
        <v>127</v>
      </c>
    </row>
    <row r="43" spans="1:4" x14ac:dyDescent="0.2">
      <c r="A43" s="17">
        <v>42</v>
      </c>
      <c r="B43" s="5" t="s">
        <v>128</v>
      </c>
    </row>
    <row r="44" spans="1:4" x14ac:dyDescent="0.2">
      <c r="A44" s="17">
        <v>43</v>
      </c>
      <c r="B44" s="5" t="s">
        <v>132</v>
      </c>
    </row>
    <row r="45" spans="1:4" x14ac:dyDescent="0.2">
      <c r="A45" s="17">
        <v>44</v>
      </c>
      <c r="B45" s="5" t="s">
        <v>133</v>
      </c>
    </row>
    <row r="46" spans="1:4" x14ac:dyDescent="0.2">
      <c r="A46" s="17">
        <v>45</v>
      </c>
      <c r="B46" s="5" t="s">
        <v>134</v>
      </c>
    </row>
    <row r="47" spans="1:4" x14ac:dyDescent="0.2">
      <c r="A47" s="17">
        <v>46</v>
      </c>
      <c r="B47" s="5" t="s">
        <v>135</v>
      </c>
    </row>
    <row r="48" spans="1:4" x14ac:dyDescent="0.2">
      <c r="A48" s="17">
        <v>47</v>
      </c>
      <c r="B48" s="5" t="s">
        <v>136</v>
      </c>
      <c r="C48" s="3" t="s">
        <v>65</v>
      </c>
    </row>
    <row r="49" spans="1:6" x14ac:dyDescent="0.2">
      <c r="A49" s="6">
        <v>48</v>
      </c>
      <c r="B49" s="5" t="s">
        <v>5</v>
      </c>
      <c r="C49" s="3" t="s">
        <v>66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82</v>
      </c>
    </row>
    <row r="54" spans="1:6" x14ac:dyDescent="0.2">
      <c r="A54" s="19">
        <v>53</v>
      </c>
      <c r="B54" s="5" t="s">
        <v>81</v>
      </c>
    </row>
    <row r="55" spans="1:6" x14ac:dyDescent="0.2">
      <c r="A55" s="19">
        <v>54</v>
      </c>
      <c r="B55" s="5" t="s">
        <v>124</v>
      </c>
    </row>
    <row r="56" spans="1:6" x14ac:dyDescent="0.2">
      <c r="A56" s="19">
        <v>55</v>
      </c>
      <c r="B56" s="5" t="s">
        <v>125</v>
      </c>
      <c r="C56" s="3" t="s">
        <v>67</v>
      </c>
    </row>
    <row r="57" spans="1:6" x14ac:dyDescent="0.2">
      <c r="A57" s="19">
        <v>56</v>
      </c>
      <c r="B57" s="5" t="s">
        <v>105</v>
      </c>
    </row>
    <row r="58" spans="1:6" x14ac:dyDescent="0.2">
      <c r="A58" s="19">
        <v>57</v>
      </c>
      <c r="B58" s="5" t="s">
        <v>143</v>
      </c>
    </row>
    <row r="59" spans="1:6" x14ac:dyDescent="0.2">
      <c r="A59" s="36">
        <v>58</v>
      </c>
      <c r="B59" s="5" t="s">
        <v>160</v>
      </c>
    </row>
    <row r="60" spans="1:6" x14ac:dyDescent="0.2">
      <c r="A60" s="233">
        <v>59</v>
      </c>
      <c r="B60" s="5" t="s">
        <v>190</v>
      </c>
    </row>
    <row r="61" spans="1:6" x14ac:dyDescent="0.2">
      <c r="A61" s="20">
        <v>60</v>
      </c>
      <c r="B61" s="5" t="s">
        <v>9</v>
      </c>
      <c r="C61" s="3" t="s">
        <v>58</v>
      </c>
    </row>
    <row r="62" spans="1:6" x14ac:dyDescent="0.2">
      <c r="A62" s="21">
        <v>61</v>
      </c>
      <c r="B62" s="5" t="s">
        <v>10</v>
      </c>
    </row>
    <row r="63" spans="1:6" x14ac:dyDescent="0.2">
      <c r="A63" s="290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185</v>
      </c>
      <c r="D69" s="3" t="s">
        <v>84</v>
      </c>
    </row>
    <row r="70" spans="1:4" x14ac:dyDescent="0.2">
      <c r="A70" s="23">
        <v>69</v>
      </c>
      <c r="B70" s="5" t="s">
        <v>186</v>
      </c>
    </row>
    <row r="71" spans="1:4" x14ac:dyDescent="0.2">
      <c r="A71" s="24">
        <v>70</v>
      </c>
      <c r="B71" s="5" t="s">
        <v>187</v>
      </c>
    </row>
    <row r="72" spans="1:4" x14ac:dyDescent="0.2">
      <c r="A72" s="25">
        <v>71</v>
      </c>
      <c r="B72" s="5" t="s">
        <v>188</v>
      </c>
    </row>
    <row r="73" spans="1:4" x14ac:dyDescent="0.2">
      <c r="A73" s="2">
        <v>72</v>
      </c>
      <c r="B73" s="5" t="s">
        <v>60</v>
      </c>
      <c r="C73" s="3" t="s">
        <v>59</v>
      </c>
      <c r="D73" s="3" t="s">
        <v>83</v>
      </c>
    </row>
    <row r="74" spans="1:4" x14ac:dyDescent="0.2">
      <c r="A74" s="9">
        <v>73</v>
      </c>
      <c r="B74" s="5" t="s">
        <v>61</v>
      </c>
    </row>
    <row r="75" spans="1:4" x14ac:dyDescent="0.2">
      <c r="A75" s="14">
        <v>74</v>
      </c>
      <c r="B75" s="5" t="s">
        <v>62</v>
      </c>
    </row>
    <row r="76" spans="1:4" x14ac:dyDescent="0.2">
      <c r="A76" s="15">
        <v>75</v>
      </c>
      <c r="B76" s="5" t="s">
        <v>63</v>
      </c>
    </row>
    <row r="77" spans="1:4" x14ac:dyDescent="0.2">
      <c r="A77" s="26">
        <v>76</v>
      </c>
      <c r="B77" s="5" t="s">
        <v>116</v>
      </c>
    </row>
    <row r="78" spans="1:4" x14ac:dyDescent="0.2">
      <c r="A78" s="9">
        <v>77</v>
      </c>
      <c r="B78" s="5" t="s">
        <v>106</v>
      </c>
      <c r="D78" s="3" t="s">
        <v>92</v>
      </c>
    </row>
    <row r="79" spans="1:4" x14ac:dyDescent="0.2">
      <c r="A79" s="9">
        <v>78</v>
      </c>
      <c r="B79" s="5" t="s">
        <v>107</v>
      </c>
    </row>
    <row r="80" spans="1:4" x14ac:dyDescent="0.2">
      <c r="A80" s="9">
        <v>79</v>
      </c>
      <c r="B80" s="5" t="s">
        <v>108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68</v>
      </c>
    </row>
    <row r="83" spans="1:4" x14ac:dyDescent="0.2">
      <c r="A83" s="9">
        <v>82</v>
      </c>
      <c r="B83" s="5" t="s">
        <v>69</v>
      </c>
    </row>
    <row r="84" spans="1:4" x14ac:dyDescent="0.2">
      <c r="A84" s="9">
        <v>83</v>
      </c>
      <c r="B84" s="5" t="s">
        <v>70</v>
      </c>
    </row>
    <row r="85" spans="1:4" x14ac:dyDescent="0.2">
      <c r="A85" s="9">
        <v>84</v>
      </c>
      <c r="B85" s="5" t="s">
        <v>109</v>
      </c>
    </row>
    <row r="86" spans="1:4" x14ac:dyDescent="0.2">
      <c r="A86" s="151">
        <v>85</v>
      </c>
      <c r="B86" s="5" t="s">
        <v>189</v>
      </c>
    </row>
    <row r="87" spans="1:4" x14ac:dyDescent="0.2">
      <c r="A87" s="9">
        <v>86</v>
      </c>
      <c r="B87" s="5" t="s">
        <v>110</v>
      </c>
    </row>
    <row r="88" spans="1:4" x14ac:dyDescent="0.2">
      <c r="A88" s="9">
        <v>87</v>
      </c>
      <c r="B88" s="5" t="s">
        <v>111</v>
      </c>
    </row>
    <row r="89" spans="1:4" x14ac:dyDescent="0.2">
      <c r="A89" s="9">
        <v>88</v>
      </c>
      <c r="B89" s="5" t="s">
        <v>112</v>
      </c>
    </row>
    <row r="90" spans="1:4" x14ac:dyDescent="0.2">
      <c r="A90" s="9">
        <v>89</v>
      </c>
      <c r="B90" s="5" t="s">
        <v>113</v>
      </c>
    </row>
    <row r="91" spans="1:4" x14ac:dyDescent="0.2">
      <c r="A91" s="9">
        <v>90</v>
      </c>
      <c r="B91" s="5" t="s">
        <v>114</v>
      </c>
    </row>
    <row r="92" spans="1:4" x14ac:dyDescent="0.2">
      <c r="A92" s="9">
        <v>91</v>
      </c>
      <c r="B92" s="5" t="s">
        <v>115</v>
      </c>
    </row>
    <row r="93" spans="1:4" x14ac:dyDescent="0.2">
      <c r="A93" s="9">
        <v>90</v>
      </c>
      <c r="B93" s="5" t="s">
        <v>182</v>
      </c>
      <c r="D93" s="3" t="s">
        <v>99</v>
      </c>
    </row>
    <row r="94" spans="1:4" x14ac:dyDescent="0.2">
      <c r="A94" s="9">
        <v>93</v>
      </c>
      <c r="B94" s="5" t="s">
        <v>183</v>
      </c>
      <c r="D94" s="3" t="s">
        <v>100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71</v>
      </c>
      <c r="D97" s="29" t="s">
        <v>57</v>
      </c>
      <c r="E97" s="3" t="s">
        <v>37</v>
      </c>
    </row>
    <row r="98" spans="1:5" x14ac:dyDescent="0.2">
      <c r="A98" s="27">
        <v>97</v>
      </c>
      <c r="B98" s="28" t="s">
        <v>72</v>
      </c>
      <c r="E98" s="3" t="s">
        <v>38</v>
      </c>
    </row>
    <row r="99" spans="1:5" x14ac:dyDescent="0.2">
      <c r="A99" s="30">
        <v>98</v>
      </c>
      <c r="B99" s="28" t="s">
        <v>73</v>
      </c>
      <c r="E99" s="3" t="s">
        <v>39</v>
      </c>
    </row>
    <row r="100" spans="1:5" x14ac:dyDescent="0.2">
      <c r="A100" s="30">
        <v>99</v>
      </c>
      <c r="B100" s="28" t="s">
        <v>74</v>
      </c>
      <c r="E100" s="3" t="s">
        <v>40</v>
      </c>
    </row>
    <row r="101" spans="1:5" x14ac:dyDescent="0.2">
      <c r="A101" s="11">
        <v>100</v>
      </c>
      <c r="B101" s="28" t="s">
        <v>75</v>
      </c>
      <c r="E101" s="3" t="s">
        <v>41</v>
      </c>
    </row>
    <row r="102" spans="1:5" x14ac:dyDescent="0.2">
      <c r="A102" s="11">
        <v>101</v>
      </c>
      <c r="B102" s="28" t="s">
        <v>76</v>
      </c>
      <c r="E102" s="3" t="s">
        <v>42</v>
      </c>
    </row>
    <row r="103" spans="1:5" x14ac:dyDescent="0.2">
      <c r="A103" s="10">
        <v>102</v>
      </c>
      <c r="B103" s="28" t="s">
        <v>79</v>
      </c>
      <c r="E103" s="3" t="s">
        <v>43</v>
      </c>
    </row>
    <row r="104" spans="1:5" x14ac:dyDescent="0.2">
      <c r="A104" s="10">
        <v>103</v>
      </c>
      <c r="B104" s="28" t="s">
        <v>80</v>
      </c>
      <c r="E104" s="3" t="s">
        <v>44</v>
      </c>
    </row>
    <row r="105" spans="1:5" x14ac:dyDescent="0.2">
      <c r="A105" s="1">
        <v>104</v>
      </c>
      <c r="B105" s="28" t="s">
        <v>77</v>
      </c>
      <c r="E105" s="3" t="s">
        <v>45</v>
      </c>
    </row>
    <row r="106" spans="1:5" x14ac:dyDescent="0.2">
      <c r="A106" s="1">
        <v>105</v>
      </c>
      <c r="B106" s="28" t="s">
        <v>78</v>
      </c>
      <c r="E106" s="3" t="s">
        <v>46</v>
      </c>
    </row>
    <row r="107" spans="1:5" x14ac:dyDescent="0.2">
      <c r="A107" s="2">
        <v>106</v>
      </c>
      <c r="B107" s="28" t="s">
        <v>85</v>
      </c>
      <c r="E107" s="3" t="s">
        <v>47</v>
      </c>
    </row>
    <row r="108" spans="1:5" x14ac:dyDescent="0.2">
      <c r="A108" s="2">
        <v>107</v>
      </c>
      <c r="B108" s="28" t="s">
        <v>86</v>
      </c>
      <c r="E108" s="3" t="s">
        <v>48</v>
      </c>
    </row>
    <row r="109" spans="1:5" x14ac:dyDescent="0.2">
      <c r="A109" s="2">
        <v>108</v>
      </c>
      <c r="B109" s="28" t="s">
        <v>87</v>
      </c>
      <c r="E109" s="3" t="s">
        <v>49</v>
      </c>
    </row>
    <row r="110" spans="1:5" x14ac:dyDescent="0.2">
      <c r="A110" s="2">
        <v>109</v>
      </c>
      <c r="B110" s="28" t="s">
        <v>178</v>
      </c>
      <c r="E110" s="3" t="s">
        <v>50</v>
      </c>
    </row>
    <row r="111" spans="1:5" x14ac:dyDescent="0.2">
      <c r="A111" s="10">
        <v>110</v>
      </c>
      <c r="B111" s="28" t="s">
        <v>89</v>
      </c>
      <c r="E111" s="3" t="s">
        <v>51</v>
      </c>
    </row>
    <row r="112" spans="1:5" x14ac:dyDescent="0.2">
      <c r="A112" s="32">
        <v>111</v>
      </c>
      <c r="B112" s="28" t="s">
        <v>88</v>
      </c>
      <c r="E112" s="3" t="s">
        <v>52</v>
      </c>
    </row>
    <row r="113" spans="1:5" x14ac:dyDescent="0.2">
      <c r="A113" s="2">
        <v>112</v>
      </c>
      <c r="B113" s="28" t="s">
        <v>91</v>
      </c>
      <c r="E113" s="3" t="s">
        <v>53</v>
      </c>
    </row>
    <row r="114" spans="1:5" x14ac:dyDescent="0.2">
      <c r="A114" s="11">
        <v>113</v>
      </c>
      <c r="B114" s="28" t="s">
        <v>90</v>
      </c>
      <c r="E114" s="3" t="s">
        <v>54</v>
      </c>
    </row>
    <row r="115" spans="1:5" x14ac:dyDescent="0.2">
      <c r="A115" s="39">
        <v>114</v>
      </c>
      <c r="B115" s="28" t="s">
        <v>176</v>
      </c>
      <c r="E115" s="3" t="s">
        <v>55</v>
      </c>
    </row>
    <row r="116" spans="1:5" x14ac:dyDescent="0.2">
      <c r="A116" s="1">
        <v>115</v>
      </c>
      <c r="B116" s="28" t="s">
        <v>177</v>
      </c>
      <c r="E116" s="3" t="s">
        <v>56</v>
      </c>
    </row>
    <row r="117" spans="1:5" x14ac:dyDescent="0.2">
      <c r="A117" s="7">
        <v>116</v>
      </c>
      <c r="B117" s="28" t="s">
        <v>179</v>
      </c>
      <c r="C117" s="40"/>
      <c r="E117" s="3" t="s">
        <v>56</v>
      </c>
    </row>
    <row r="118" spans="1:5" x14ac:dyDescent="0.2">
      <c r="A118" s="7">
        <v>117</v>
      </c>
      <c r="B118" s="28" t="s">
        <v>180</v>
      </c>
    </row>
    <row r="119" spans="1:5" x14ac:dyDescent="0.2">
      <c r="A119" s="7">
        <v>118</v>
      </c>
      <c r="B119" s="28" t="s">
        <v>122</v>
      </c>
    </row>
    <row r="120" spans="1:5" x14ac:dyDescent="0.2">
      <c r="A120" s="241">
        <v>119</v>
      </c>
      <c r="B120" s="28" t="s">
        <v>181</v>
      </c>
    </row>
    <row r="121" spans="1:5" x14ac:dyDescent="0.2">
      <c r="A121" s="41">
        <v>120</v>
      </c>
      <c r="B121" s="28" t="s">
        <v>118</v>
      </c>
    </row>
    <row r="122" spans="1:5" x14ac:dyDescent="0.2">
      <c r="A122" s="9">
        <v>121</v>
      </c>
      <c r="B122" s="5" t="s">
        <v>103</v>
      </c>
    </row>
    <row r="123" spans="1:5" x14ac:dyDescent="0.2">
      <c r="A123" s="9">
        <v>122</v>
      </c>
      <c r="B123" s="5" t="s">
        <v>104</v>
      </c>
    </row>
    <row r="124" spans="1:5" x14ac:dyDescent="0.2">
      <c r="A124" s="9">
        <v>123</v>
      </c>
      <c r="B124" s="5" t="s">
        <v>101</v>
      </c>
    </row>
    <row r="125" spans="1:5" x14ac:dyDescent="0.2">
      <c r="A125" s="9">
        <v>124</v>
      </c>
      <c r="B125" s="5" t="s">
        <v>102</v>
      </c>
    </row>
    <row r="126" spans="1:5" x14ac:dyDescent="0.2">
      <c r="A126" s="9">
        <v>125</v>
      </c>
      <c r="B126" s="5" t="s">
        <v>94</v>
      </c>
    </row>
    <row r="127" spans="1:5" x14ac:dyDescent="0.2">
      <c r="A127" s="9">
        <v>126</v>
      </c>
      <c r="B127" s="5" t="s">
        <v>95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/>
  <dimension ref="A1:IW48"/>
  <sheetViews>
    <sheetView zoomScaleNormal="100" workbookViewId="0">
      <selection activeCell="C3" sqref="C3:D4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5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5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5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5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5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5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5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5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5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5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5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5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5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5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5" bestFit="1" customWidth="1"/>
    <col min="242" max="256" width="3.85546875" style="42" bestFit="1" customWidth="1"/>
    <col min="257" max="257" width="3.85546875" style="105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93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93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93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54">
        <v>0</v>
      </c>
      <c r="BV2" s="54">
        <v>0</v>
      </c>
      <c r="BW2" s="54">
        <v>0</v>
      </c>
      <c r="BX2" s="48">
        <v>7</v>
      </c>
      <c r="BY2" s="48">
        <v>8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55">
        <v>19</v>
      </c>
      <c r="HB2" s="55">
        <v>84</v>
      </c>
      <c r="HC2" s="47">
        <v>0</v>
      </c>
      <c r="HD2" s="47">
        <v>0</v>
      </c>
      <c r="HE2" s="47">
        <v>0</v>
      </c>
      <c r="HF2" s="47">
        <v>0</v>
      </c>
      <c r="HG2" s="47">
        <v>0</v>
      </c>
      <c r="HH2" s="47">
        <v>0</v>
      </c>
      <c r="HI2" s="57">
        <v>52</v>
      </c>
      <c r="HJ2" s="47">
        <v>0</v>
      </c>
      <c r="HK2" s="47">
        <v>0</v>
      </c>
      <c r="HL2" s="57">
        <v>52</v>
      </c>
      <c r="HM2" s="47">
        <v>0</v>
      </c>
      <c r="HN2" s="47">
        <v>0</v>
      </c>
      <c r="HO2" s="57">
        <v>52</v>
      </c>
      <c r="HP2" s="58">
        <v>27</v>
      </c>
      <c r="HQ2" s="55">
        <v>84</v>
      </c>
      <c r="HR2" s="55">
        <v>19</v>
      </c>
      <c r="HS2" s="55">
        <v>19</v>
      </c>
      <c r="HT2" s="47">
        <v>0</v>
      </c>
      <c r="HU2" s="47">
        <v>0</v>
      </c>
      <c r="HV2" s="47">
        <v>0</v>
      </c>
      <c r="HW2" s="47">
        <v>0</v>
      </c>
      <c r="HX2" s="47">
        <v>0</v>
      </c>
      <c r="HY2" s="47">
        <v>0</v>
      </c>
      <c r="HZ2" s="47">
        <v>0</v>
      </c>
      <c r="IA2" s="47">
        <v>0</v>
      </c>
      <c r="IB2" s="47">
        <v>0</v>
      </c>
      <c r="IC2" s="57">
        <v>56</v>
      </c>
      <c r="ID2" s="57">
        <v>55</v>
      </c>
      <c r="IE2" s="57">
        <v>55</v>
      </c>
      <c r="IF2" s="57">
        <v>56</v>
      </c>
      <c r="IG2" s="47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59">
        <v>21</v>
      </c>
      <c r="IQ2" s="47">
        <v>0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54">
        <v>0</v>
      </c>
      <c r="BV3" s="54">
        <v>0</v>
      </c>
      <c r="BW3" s="56">
        <v>35</v>
      </c>
      <c r="BX3" s="48">
        <v>9</v>
      </c>
      <c r="BY3" s="48">
        <v>10</v>
      </c>
      <c r="BZ3" s="56">
        <v>35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47">
        <v>0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55">
        <v>84</v>
      </c>
      <c r="HB3" s="55">
        <v>84</v>
      </c>
      <c r="HC3" s="47">
        <v>0</v>
      </c>
      <c r="HD3" s="47">
        <v>0</v>
      </c>
      <c r="HE3" s="47">
        <v>0</v>
      </c>
      <c r="HF3" s="64">
        <v>40</v>
      </c>
      <c r="HG3" s="58">
        <v>30</v>
      </c>
      <c r="HH3" s="50">
        <v>40</v>
      </c>
      <c r="HI3" s="47">
        <v>0</v>
      </c>
      <c r="HJ3" s="47">
        <v>0</v>
      </c>
      <c r="HK3" s="47">
        <v>0</v>
      </c>
      <c r="HL3" s="58">
        <v>30</v>
      </c>
      <c r="HM3" s="47">
        <v>0</v>
      </c>
      <c r="HN3" s="47">
        <v>0</v>
      </c>
      <c r="HO3" s="58">
        <v>30</v>
      </c>
      <c r="HP3" s="65">
        <v>38</v>
      </c>
      <c r="HQ3" s="55">
        <v>84</v>
      </c>
      <c r="HR3" s="55">
        <v>84</v>
      </c>
      <c r="HS3" s="55">
        <v>18</v>
      </c>
      <c r="HT3" s="47">
        <v>0</v>
      </c>
      <c r="HU3" s="47">
        <v>0</v>
      </c>
      <c r="HV3" s="48">
        <v>7</v>
      </c>
      <c r="HW3" s="48">
        <v>8</v>
      </c>
      <c r="HX3" s="47">
        <v>0</v>
      </c>
      <c r="HY3" s="47">
        <v>0</v>
      </c>
      <c r="HZ3" s="47">
        <v>0</v>
      </c>
      <c r="IA3" s="47">
        <v>0</v>
      </c>
      <c r="IB3" s="56">
        <v>35</v>
      </c>
      <c r="IC3" s="47">
        <v>0</v>
      </c>
      <c r="ID3" s="47">
        <v>0</v>
      </c>
      <c r="IE3" s="47">
        <v>0</v>
      </c>
      <c r="IF3" s="47">
        <v>0</v>
      </c>
      <c r="IG3" s="47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59">
        <v>20</v>
      </c>
      <c r="IQ3" s="47">
        <v>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9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54">
        <v>0</v>
      </c>
      <c r="BX4" s="54">
        <v>0</v>
      </c>
      <c r="BY4" s="54">
        <v>0</v>
      </c>
      <c r="BZ4" s="54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47">
        <v>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55">
        <v>14</v>
      </c>
      <c r="HB4" s="55">
        <v>84</v>
      </c>
      <c r="HC4" s="60">
        <v>61</v>
      </c>
      <c r="HD4" s="60">
        <v>61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55">
        <v>84</v>
      </c>
      <c r="HR4" s="55">
        <v>14</v>
      </c>
      <c r="HS4" s="55">
        <v>18</v>
      </c>
      <c r="HT4" s="47">
        <v>0</v>
      </c>
      <c r="HU4" s="47">
        <v>0</v>
      </c>
      <c r="HV4" s="48">
        <v>9</v>
      </c>
      <c r="HW4" s="48">
        <v>10</v>
      </c>
      <c r="HX4" s="47">
        <v>0</v>
      </c>
      <c r="HY4" s="47">
        <v>0</v>
      </c>
      <c r="HZ4" s="47">
        <v>0</v>
      </c>
      <c r="IA4" s="70">
        <v>58</v>
      </c>
      <c r="IB4" s="68">
        <v>108</v>
      </c>
      <c r="IC4" s="47">
        <v>0</v>
      </c>
      <c r="ID4" s="47">
        <v>0</v>
      </c>
      <c r="IE4" s="47">
        <v>0</v>
      </c>
      <c r="IF4" s="47">
        <v>0</v>
      </c>
      <c r="IG4" s="47">
        <v>0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59">
        <v>20</v>
      </c>
      <c r="IQ4" s="47">
        <v>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68">
        <v>108</v>
      </c>
      <c r="BX5" s="54">
        <v>0</v>
      </c>
      <c r="BY5" s="54">
        <v>0</v>
      </c>
      <c r="BZ5" s="68">
        <v>108</v>
      </c>
      <c r="CA5" s="77">
        <v>44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55">
        <v>84</v>
      </c>
      <c r="HB5" s="55">
        <v>84</v>
      </c>
      <c r="HC5" s="60">
        <v>61</v>
      </c>
      <c r="HD5" s="47">
        <v>0</v>
      </c>
      <c r="HE5" s="47">
        <v>0</v>
      </c>
      <c r="HF5" s="47">
        <v>0</v>
      </c>
      <c r="HG5" s="47">
        <v>0</v>
      </c>
      <c r="HH5" s="47">
        <v>0</v>
      </c>
      <c r="HI5" s="47">
        <v>0</v>
      </c>
      <c r="HJ5" s="47">
        <v>0</v>
      </c>
      <c r="HK5" s="47">
        <v>0</v>
      </c>
      <c r="HL5" s="47">
        <v>0</v>
      </c>
      <c r="HM5" s="47">
        <v>0</v>
      </c>
      <c r="HN5" s="47">
        <v>0</v>
      </c>
      <c r="HO5" s="47">
        <v>0</v>
      </c>
      <c r="HP5" s="47">
        <v>0</v>
      </c>
      <c r="HQ5" s="55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47">
        <v>0</v>
      </c>
      <c r="HZ5" s="47">
        <v>0</v>
      </c>
      <c r="IA5" s="47">
        <v>0</v>
      </c>
      <c r="IB5" s="47">
        <v>0</v>
      </c>
      <c r="IC5" s="47">
        <v>0</v>
      </c>
      <c r="ID5" s="81">
        <v>120</v>
      </c>
      <c r="IE5" s="47">
        <v>0</v>
      </c>
      <c r="IF5" s="47">
        <v>0</v>
      </c>
      <c r="IG5" s="47">
        <v>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59">
        <v>20</v>
      </c>
      <c r="IQ5" s="47">
        <v>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47">
        <v>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60">
        <v>58</v>
      </c>
      <c r="BW6" s="54">
        <v>0</v>
      </c>
      <c r="BX6" s="51">
        <v>122</v>
      </c>
      <c r="BY6" s="54">
        <v>0</v>
      </c>
      <c r="BZ6" s="54">
        <v>0</v>
      </c>
      <c r="CA6" s="60">
        <v>58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55">
        <v>84</v>
      </c>
      <c r="HB6" s="55">
        <v>84</v>
      </c>
      <c r="HC6" s="77">
        <v>46</v>
      </c>
      <c r="HD6" s="47">
        <v>0</v>
      </c>
      <c r="HE6" s="87">
        <v>26</v>
      </c>
      <c r="HF6" s="47">
        <v>0</v>
      </c>
      <c r="HG6" s="88">
        <v>25</v>
      </c>
      <c r="HH6" s="47">
        <v>0</v>
      </c>
      <c r="HI6" s="47">
        <v>0</v>
      </c>
      <c r="HJ6" s="88">
        <v>25</v>
      </c>
      <c r="HK6" s="47">
        <v>0</v>
      </c>
      <c r="HL6" s="47">
        <v>0</v>
      </c>
      <c r="HM6" s="47">
        <v>0</v>
      </c>
      <c r="HN6" s="87">
        <v>26</v>
      </c>
      <c r="HO6" s="47">
        <v>0</v>
      </c>
      <c r="HP6" s="47">
        <v>0</v>
      </c>
      <c r="HQ6" s="55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47">
        <v>0</v>
      </c>
      <c r="HX6" s="54">
        <v>0</v>
      </c>
      <c r="HY6" s="54">
        <v>0</v>
      </c>
      <c r="HZ6" s="70">
        <v>58</v>
      </c>
      <c r="IA6" s="47">
        <v>0</v>
      </c>
      <c r="IB6" s="47">
        <v>0</v>
      </c>
      <c r="IC6" s="47">
        <v>0</v>
      </c>
      <c r="ID6" s="81">
        <v>120</v>
      </c>
      <c r="IE6" s="47">
        <v>0</v>
      </c>
      <c r="IF6" s="47">
        <v>0</v>
      </c>
      <c r="IG6" s="47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59">
        <v>20</v>
      </c>
      <c r="IQ6" s="47">
        <v>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50">
        <v>40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85">
        <v>90</v>
      </c>
      <c r="BY7" s="54">
        <v>0</v>
      </c>
      <c r="BZ7" s="56">
        <v>35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53">
        <v>123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55">
        <v>84</v>
      </c>
      <c r="HB7" s="55">
        <v>84</v>
      </c>
      <c r="HC7" s="60">
        <v>61</v>
      </c>
      <c r="HD7" s="47">
        <v>0</v>
      </c>
      <c r="HE7" s="47">
        <v>0</v>
      </c>
      <c r="HF7" s="88">
        <v>100</v>
      </c>
      <c r="HG7" s="47">
        <v>0</v>
      </c>
      <c r="HH7" s="47">
        <v>0</v>
      </c>
      <c r="HI7" s="55">
        <v>78</v>
      </c>
      <c r="HJ7" s="47">
        <v>0</v>
      </c>
      <c r="HK7" s="58">
        <v>30</v>
      </c>
      <c r="HL7" s="47">
        <v>0</v>
      </c>
      <c r="HM7" s="47">
        <v>0</v>
      </c>
      <c r="HN7" s="47">
        <v>0</v>
      </c>
      <c r="HO7" s="47">
        <v>0</v>
      </c>
      <c r="HP7" s="60">
        <v>61</v>
      </c>
      <c r="HQ7" s="55">
        <v>84</v>
      </c>
      <c r="HR7" s="55">
        <v>84</v>
      </c>
      <c r="HS7" s="47">
        <v>0</v>
      </c>
      <c r="HT7" s="85">
        <v>90</v>
      </c>
      <c r="HU7" s="47">
        <v>0</v>
      </c>
      <c r="HV7" s="63">
        <v>34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47">
        <v>0</v>
      </c>
      <c r="IC7" s="47">
        <v>0</v>
      </c>
      <c r="ID7" s="47">
        <v>0</v>
      </c>
      <c r="IE7" s="47">
        <v>0</v>
      </c>
      <c r="IF7" s="47">
        <v>0</v>
      </c>
      <c r="IG7" s="47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59">
        <v>20</v>
      </c>
      <c r="IQ7" s="47">
        <v>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60">
        <v>84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47">
        <v>0</v>
      </c>
      <c r="BS8" s="60">
        <v>58</v>
      </c>
      <c r="BT8" s="60">
        <v>58</v>
      </c>
      <c r="BU8" s="54">
        <v>0</v>
      </c>
      <c r="BV8" s="54">
        <v>0</v>
      </c>
      <c r="BW8" s="47">
        <v>0</v>
      </c>
      <c r="BX8" s="47">
        <v>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61">
        <v>90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55">
        <v>84</v>
      </c>
      <c r="HB8" s="55">
        <v>84</v>
      </c>
      <c r="HC8" s="47">
        <v>0</v>
      </c>
      <c r="HD8" s="47">
        <v>0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47">
        <v>0</v>
      </c>
      <c r="HN8" s="47">
        <v>0</v>
      </c>
      <c r="HO8" s="47">
        <v>0</v>
      </c>
      <c r="HP8" s="68">
        <v>108</v>
      </c>
      <c r="HQ8" s="55">
        <v>84</v>
      </c>
      <c r="HR8" s="55">
        <v>84</v>
      </c>
      <c r="HS8" s="47">
        <v>0</v>
      </c>
      <c r="HT8" s="47">
        <v>0</v>
      </c>
      <c r="HU8" s="47">
        <v>0</v>
      </c>
      <c r="HV8" s="63">
        <v>34</v>
      </c>
      <c r="HW8" s="47">
        <v>0</v>
      </c>
      <c r="HX8" s="93">
        <v>5</v>
      </c>
      <c r="HY8" s="93">
        <v>6</v>
      </c>
      <c r="HZ8" s="54">
        <v>0</v>
      </c>
      <c r="IA8" s="70">
        <v>58</v>
      </c>
      <c r="IB8" s="56">
        <v>35</v>
      </c>
      <c r="IC8" s="47">
        <v>0</v>
      </c>
      <c r="ID8" s="47">
        <v>0</v>
      </c>
      <c r="IE8" s="47">
        <v>0</v>
      </c>
      <c r="IF8" s="47">
        <v>0</v>
      </c>
      <c r="IG8" s="47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59">
        <v>20</v>
      </c>
      <c r="IQ8" s="47">
        <v>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71">
        <v>11</v>
      </c>
      <c r="AZ9" s="71">
        <v>12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54">
        <v>0</v>
      </c>
      <c r="BW9" s="57">
        <v>53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47">
        <v>0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71">
        <v>11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47">
        <v>0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98">
        <v>29</v>
      </c>
      <c r="HB9" s="47">
        <v>0</v>
      </c>
      <c r="HC9" s="47">
        <v>0</v>
      </c>
      <c r="HD9" s="88">
        <v>25</v>
      </c>
      <c r="HE9" s="47">
        <v>0</v>
      </c>
      <c r="HF9" s="47">
        <v>0</v>
      </c>
      <c r="HG9" s="58">
        <v>30</v>
      </c>
      <c r="HH9" s="47">
        <v>0</v>
      </c>
      <c r="HI9" s="47">
        <v>0</v>
      </c>
      <c r="HJ9" s="99">
        <v>30</v>
      </c>
      <c r="HK9" s="47">
        <v>0</v>
      </c>
      <c r="HL9" s="47">
        <v>0</v>
      </c>
      <c r="HM9" s="47">
        <v>0</v>
      </c>
      <c r="HN9" s="47">
        <v>0</v>
      </c>
      <c r="HO9" s="88">
        <v>25</v>
      </c>
      <c r="HP9" s="47">
        <v>0</v>
      </c>
      <c r="HQ9" s="65">
        <v>74</v>
      </c>
      <c r="HR9" s="98">
        <v>29</v>
      </c>
      <c r="HS9" s="100">
        <v>35</v>
      </c>
      <c r="HT9" s="47">
        <v>0</v>
      </c>
      <c r="HU9" s="101">
        <v>96</v>
      </c>
      <c r="HV9" s="62">
        <v>33</v>
      </c>
      <c r="HW9" s="94">
        <v>1</v>
      </c>
      <c r="HX9" s="94">
        <v>2</v>
      </c>
      <c r="HY9" s="94">
        <v>3</v>
      </c>
      <c r="HZ9" s="94">
        <v>4</v>
      </c>
      <c r="IA9" s="47">
        <v>0</v>
      </c>
      <c r="IB9" s="47">
        <v>0</v>
      </c>
      <c r="IC9" s="57">
        <v>54</v>
      </c>
      <c r="ID9" s="57">
        <v>55</v>
      </c>
      <c r="IE9" s="57">
        <v>55</v>
      </c>
      <c r="IF9" s="57">
        <v>54</v>
      </c>
      <c r="IG9" s="47">
        <v>0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59">
        <v>20</v>
      </c>
      <c r="IQ9" s="47">
        <v>0</v>
      </c>
      <c r="IR9" s="55">
        <v>17</v>
      </c>
      <c r="IS9" s="55">
        <v>13</v>
      </c>
      <c r="IT9" s="102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3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85">
        <v>82</v>
      </c>
      <c r="HB10" s="55">
        <v>84</v>
      </c>
      <c r="HC10" s="55">
        <v>84</v>
      </c>
      <c r="HD10" s="47">
        <v>0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47">
        <v>0</v>
      </c>
      <c r="HM10" s="50">
        <v>40</v>
      </c>
      <c r="HN10" s="50">
        <v>40</v>
      </c>
      <c r="HO10" s="47">
        <v>0</v>
      </c>
      <c r="HP10" s="55">
        <v>84</v>
      </c>
      <c r="HQ10" s="55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55">
        <v>83</v>
      </c>
      <c r="HY10" s="94">
        <v>48</v>
      </c>
      <c r="HZ10" s="94">
        <v>48</v>
      </c>
      <c r="IA10" s="85">
        <v>81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85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4"/>
      <c r="B11" s="251" t="s">
        <v>156</v>
      </c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2"/>
      <c r="R11" s="251" t="s">
        <v>157</v>
      </c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2"/>
      <c r="AH11" s="253" t="s">
        <v>158</v>
      </c>
      <c r="AI11" s="254"/>
      <c r="AJ11" s="254"/>
      <c r="AK11" s="254"/>
      <c r="AL11" s="254"/>
      <c r="AM11" s="254"/>
      <c r="AN11" s="254"/>
      <c r="AO11" s="254"/>
      <c r="AP11" s="254"/>
      <c r="AQ11" s="254"/>
      <c r="AR11" s="254"/>
      <c r="AS11" s="254"/>
      <c r="AT11" s="254"/>
      <c r="AU11" s="254"/>
      <c r="AV11" s="254"/>
      <c r="AW11" s="250"/>
      <c r="AX11" s="248" t="s">
        <v>159</v>
      </c>
      <c r="AY11" s="254"/>
      <c r="AZ11" s="254"/>
      <c r="BA11" s="254"/>
      <c r="BB11" s="254"/>
      <c r="BC11" s="254"/>
      <c r="BD11" s="254"/>
      <c r="BE11" s="254"/>
      <c r="BF11" s="254"/>
      <c r="BG11" s="254"/>
      <c r="BH11" s="254"/>
      <c r="BI11" s="254"/>
      <c r="BJ11" s="254"/>
      <c r="BK11" s="254"/>
      <c r="BL11" s="254"/>
      <c r="BM11" s="250"/>
      <c r="BN11" s="248" t="s">
        <v>144</v>
      </c>
      <c r="BO11" s="254"/>
      <c r="BP11" s="254"/>
      <c r="BQ11" s="254"/>
      <c r="BR11" s="254"/>
      <c r="BS11" s="254"/>
      <c r="BT11" s="254"/>
      <c r="BU11" s="254"/>
      <c r="BV11" s="254"/>
      <c r="BW11" s="254"/>
      <c r="BX11" s="254"/>
      <c r="BY11" s="254"/>
      <c r="BZ11" s="254"/>
      <c r="CA11" s="254"/>
      <c r="CB11" s="254"/>
      <c r="CC11" s="250"/>
      <c r="CD11" s="248" t="s">
        <v>145</v>
      </c>
      <c r="CE11" s="254"/>
      <c r="CF11" s="254"/>
      <c r="CG11" s="254"/>
      <c r="CH11" s="254"/>
      <c r="CI11" s="254"/>
      <c r="CJ11" s="254"/>
      <c r="CK11" s="254"/>
      <c r="CL11" s="254"/>
      <c r="CM11" s="254"/>
      <c r="CN11" s="254"/>
      <c r="CO11" s="254"/>
      <c r="CP11" s="254"/>
      <c r="CQ11" s="254"/>
      <c r="CR11" s="254"/>
      <c r="CS11" s="250"/>
      <c r="CT11" s="248" t="s">
        <v>146</v>
      </c>
      <c r="CU11" s="249"/>
      <c r="CV11" s="249"/>
      <c r="CW11" s="249"/>
      <c r="CX11" s="249"/>
      <c r="CY11" s="249"/>
      <c r="CZ11" s="249"/>
      <c r="DA11" s="249"/>
      <c r="DB11" s="249"/>
      <c r="DC11" s="249"/>
      <c r="DD11" s="249"/>
      <c r="DE11" s="249"/>
      <c r="DF11" s="249"/>
      <c r="DG11" s="249"/>
      <c r="DH11" s="249"/>
      <c r="DI11" s="250"/>
      <c r="DJ11" s="248" t="s">
        <v>147</v>
      </c>
      <c r="DK11" s="249"/>
      <c r="DL11" s="249"/>
      <c r="DM11" s="249"/>
      <c r="DN11" s="249"/>
      <c r="DO11" s="249"/>
      <c r="DP11" s="249"/>
      <c r="DQ11" s="249"/>
      <c r="DR11" s="249"/>
      <c r="DS11" s="249"/>
      <c r="DT11" s="249"/>
      <c r="DU11" s="249"/>
      <c r="DV11" s="249"/>
      <c r="DW11" s="249"/>
      <c r="DX11" s="249"/>
      <c r="DY11" s="250"/>
      <c r="DZ11" s="248" t="s">
        <v>148</v>
      </c>
      <c r="EA11" s="249"/>
      <c r="EB11" s="249"/>
      <c r="EC11" s="249"/>
      <c r="ED11" s="249"/>
      <c r="EE11" s="249"/>
      <c r="EF11" s="249"/>
      <c r="EG11" s="249"/>
      <c r="EH11" s="249"/>
      <c r="EI11" s="249"/>
      <c r="EJ11" s="249"/>
      <c r="EK11" s="249"/>
      <c r="EL11" s="249"/>
      <c r="EM11" s="249"/>
      <c r="EN11" s="249"/>
      <c r="EO11" s="250"/>
      <c r="EP11" s="248" t="s">
        <v>149</v>
      </c>
      <c r="EQ11" s="249"/>
      <c r="ER11" s="249"/>
      <c r="ES11" s="249"/>
      <c r="ET11" s="249"/>
      <c r="EU11" s="249"/>
      <c r="EV11" s="249"/>
      <c r="EW11" s="249"/>
      <c r="EX11" s="249"/>
      <c r="EY11" s="249"/>
      <c r="EZ11" s="249"/>
      <c r="FA11" s="249"/>
      <c r="FB11" s="249"/>
      <c r="FC11" s="249"/>
      <c r="FD11" s="249"/>
      <c r="FE11" s="250"/>
      <c r="FF11" s="248" t="s">
        <v>150</v>
      </c>
      <c r="FG11" s="249"/>
      <c r="FH11" s="249"/>
      <c r="FI11" s="249"/>
      <c r="FJ11" s="249"/>
      <c r="FK11" s="249"/>
      <c r="FL11" s="249"/>
      <c r="FM11" s="249"/>
      <c r="FN11" s="249"/>
      <c r="FO11" s="249"/>
      <c r="FP11" s="249"/>
      <c r="FQ11" s="249"/>
      <c r="FR11" s="249"/>
      <c r="FS11" s="249"/>
      <c r="FT11" s="249"/>
      <c r="FU11" s="250"/>
      <c r="FV11" s="248" t="s">
        <v>151</v>
      </c>
      <c r="FW11" s="249"/>
      <c r="FX11" s="249"/>
      <c r="FY11" s="249"/>
      <c r="FZ11" s="249"/>
      <c r="GA11" s="249"/>
      <c r="GB11" s="249"/>
      <c r="GC11" s="249"/>
      <c r="GD11" s="249"/>
      <c r="GE11" s="249"/>
      <c r="GF11" s="249"/>
      <c r="GG11" s="249"/>
      <c r="GH11" s="249"/>
      <c r="GI11" s="249"/>
      <c r="GJ11" s="249"/>
      <c r="GK11" s="250"/>
      <c r="GL11" s="248" t="s">
        <v>152</v>
      </c>
      <c r="GM11" s="249"/>
      <c r="GN11" s="249"/>
      <c r="GO11" s="249"/>
      <c r="GP11" s="249"/>
      <c r="GQ11" s="249"/>
      <c r="GR11" s="249"/>
      <c r="GS11" s="249"/>
      <c r="GT11" s="249"/>
      <c r="GU11" s="249"/>
      <c r="GV11" s="249"/>
      <c r="GW11" s="249"/>
      <c r="GX11" s="249"/>
      <c r="GY11" s="249"/>
      <c r="GZ11" s="249"/>
      <c r="HA11" s="250"/>
      <c r="HB11" s="248" t="s">
        <v>153</v>
      </c>
      <c r="HC11" s="249"/>
      <c r="HD11" s="249"/>
      <c r="HE11" s="249"/>
      <c r="HF11" s="249"/>
      <c r="HG11" s="249"/>
      <c r="HH11" s="249"/>
      <c r="HI11" s="249"/>
      <c r="HJ11" s="249"/>
      <c r="HK11" s="249"/>
      <c r="HL11" s="249"/>
      <c r="HM11" s="249"/>
      <c r="HN11" s="249"/>
      <c r="HO11" s="249"/>
      <c r="HP11" s="249"/>
      <c r="HQ11" s="250"/>
      <c r="HR11" s="248" t="s">
        <v>154</v>
      </c>
      <c r="HS11" s="249"/>
      <c r="HT11" s="249"/>
      <c r="HU11" s="249"/>
      <c r="HV11" s="249"/>
      <c r="HW11" s="249"/>
      <c r="HX11" s="249"/>
      <c r="HY11" s="249"/>
      <c r="HZ11" s="249"/>
      <c r="IA11" s="249"/>
      <c r="IB11" s="249"/>
      <c r="IC11" s="249"/>
      <c r="ID11" s="249"/>
      <c r="IE11" s="249"/>
      <c r="IF11" s="249"/>
      <c r="IG11" s="250"/>
      <c r="IH11" s="248" t="s">
        <v>155</v>
      </c>
      <c r="II11" s="249"/>
      <c r="IJ11" s="249"/>
      <c r="IK11" s="249"/>
      <c r="IL11" s="249"/>
      <c r="IM11" s="249"/>
      <c r="IN11" s="249"/>
      <c r="IO11" s="249"/>
      <c r="IP11" s="249"/>
      <c r="IQ11" s="249"/>
      <c r="IR11" s="249"/>
      <c r="IS11" s="249"/>
      <c r="IT11" s="249"/>
      <c r="IU11" s="249"/>
      <c r="IV11" s="249"/>
      <c r="IW11" s="250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6" t="s">
        <v>167</v>
      </c>
      <c r="V19" s="107"/>
      <c r="W19" s="107"/>
      <c r="X19" s="108">
        <f>COUNTIF($B$2:$IW$10,40)</f>
        <v>100</v>
      </c>
      <c r="Y19" s="109">
        <v>100</v>
      </c>
      <c r="AA19" s="42">
        <v>96</v>
      </c>
      <c r="AB19" s="42" t="s">
        <v>71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10" t="s">
        <v>168</v>
      </c>
      <c r="V20" s="111"/>
      <c r="W20" s="111"/>
      <c r="X20" s="112">
        <f>COUNTIF($B$2:$IW$10,121) + COUNTIF($B$2:$IW$10,122)</f>
        <v>4</v>
      </c>
      <c r="Y20" s="113">
        <v>4</v>
      </c>
      <c r="AA20" s="42">
        <v>97</v>
      </c>
      <c r="AB20" s="42" t="s">
        <v>72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10" t="s">
        <v>169</v>
      </c>
      <c r="V21" s="111"/>
      <c r="W21" s="111"/>
      <c r="X21" s="112">
        <f>COUNTIF($B$2:$IW$10,123) + COUNTIF($B$2:$IW$10,124)</f>
        <v>5</v>
      </c>
      <c r="Y21" s="113">
        <v>4</v>
      </c>
      <c r="AA21" s="42">
        <v>98</v>
      </c>
      <c r="AB21" s="42" t="s">
        <v>73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10" t="s">
        <v>170</v>
      </c>
      <c r="V22" s="111"/>
      <c r="W22" s="111"/>
      <c r="X22" s="112">
        <f>COUNTIF($B$2:$IW$10,125) + COUNTIF($B$2:$IW$10,126)</f>
        <v>1</v>
      </c>
      <c r="Y22" s="113">
        <v>1</v>
      </c>
      <c r="AA22" s="42">
        <v>99</v>
      </c>
      <c r="AB22" s="42" t="s">
        <v>74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10" t="s">
        <v>171</v>
      </c>
      <c r="V23" s="111"/>
      <c r="W23" s="111"/>
      <c r="X23" s="112">
        <f>COUNTIF($B$2:$IW$10,41) + COUNTIF($B$2:$IW$10,42)+COUNTIF($B$2:$IW$10,43) + COUNTIF($B$2:$IW$10,44)+COUNTIF($B$2:$IW$10,45) + COUNTIF($B$2:$IW$10,46)</f>
        <v>6</v>
      </c>
      <c r="Y23" s="113">
        <v>6</v>
      </c>
      <c r="AA23" s="42">
        <v>100</v>
      </c>
      <c r="AB23" s="42" t="s">
        <v>75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10" t="s">
        <v>172</v>
      </c>
      <c r="V24" s="111"/>
      <c r="W24" s="111"/>
      <c r="X24" s="112">
        <f>COUNTIF($B$2:$IW$10,47)</f>
        <v>1</v>
      </c>
      <c r="Y24" s="113">
        <v>1</v>
      </c>
      <c r="AA24" s="42">
        <v>101</v>
      </c>
      <c r="AB24" s="42" t="s">
        <v>76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10" t="s">
        <v>173</v>
      </c>
      <c r="V25" s="111"/>
      <c r="W25" s="111"/>
      <c r="X25" s="112">
        <f>COUNTIF($B$2:$IW$10,36) + COUNTIF($B$2:$IW$10,37)+COUNTIF($B$2:$IW$10,38) + COUNTIF($B$2:$IW$10,39)</f>
        <v>4</v>
      </c>
      <c r="Y25" s="113">
        <v>4</v>
      </c>
      <c r="AA25" s="42">
        <v>102</v>
      </c>
      <c r="AB25" s="42" t="s">
        <v>79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119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4" t="s">
        <v>174</v>
      </c>
      <c r="V26" s="115"/>
      <c r="W26" s="115"/>
      <c r="X26" s="116">
        <f>COUNTIF($B$2:$IW$10,72) + COUNTIF($B$2:$IW$10,73)+COUNTIF($B$2:$IW$10,74) + COUNTIF($B$2:$IW$10,75)</f>
        <v>4</v>
      </c>
      <c r="Y26" s="117">
        <v>4</v>
      </c>
      <c r="AA26" s="42">
        <v>103</v>
      </c>
      <c r="AB26" s="42" t="s">
        <v>80</v>
      </c>
    </row>
    <row r="27" spans="2:28" ht="20" customHeight="1" x14ac:dyDescent="0.2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AA27" s="42">
        <v>104</v>
      </c>
      <c r="AB27" s="42" t="s">
        <v>77</v>
      </c>
    </row>
    <row r="28" spans="2:28" ht="20" customHeight="1" x14ac:dyDescent="0.2">
      <c r="AA28" s="42">
        <v>105</v>
      </c>
      <c r="AB28" s="42" t="s">
        <v>78</v>
      </c>
    </row>
    <row r="29" spans="2:28" ht="20" customHeight="1" x14ac:dyDescent="0.2">
      <c r="AA29" s="42">
        <v>106</v>
      </c>
      <c r="AB29" s="42" t="s">
        <v>85</v>
      </c>
    </row>
    <row r="30" spans="2:28" ht="20" customHeight="1" x14ac:dyDescent="0.2">
      <c r="AA30" s="42">
        <v>107</v>
      </c>
      <c r="AB30" s="42" t="s">
        <v>86</v>
      </c>
    </row>
    <row r="31" spans="2:28" ht="20" customHeight="1" x14ac:dyDescent="0.2">
      <c r="AA31" s="42">
        <v>108</v>
      </c>
      <c r="AB31" s="42" t="s">
        <v>87</v>
      </c>
    </row>
    <row r="32" spans="2:28" ht="20" customHeight="1" x14ac:dyDescent="0.2">
      <c r="AA32" s="42">
        <v>109</v>
      </c>
      <c r="AB32" s="42" t="s">
        <v>166</v>
      </c>
    </row>
    <row r="33" spans="27:28" ht="20" customHeight="1" x14ac:dyDescent="0.2">
      <c r="AA33" s="42">
        <v>110</v>
      </c>
      <c r="AB33" s="42" t="s">
        <v>89</v>
      </c>
    </row>
    <row r="34" spans="27:28" ht="20" customHeight="1" x14ac:dyDescent="0.2">
      <c r="AA34" s="42">
        <v>111</v>
      </c>
      <c r="AB34" s="42" t="s">
        <v>88</v>
      </c>
    </row>
    <row r="35" spans="27:28" ht="20" customHeight="1" x14ac:dyDescent="0.2">
      <c r="AA35" s="42">
        <v>112</v>
      </c>
      <c r="AB35" s="42" t="s">
        <v>91</v>
      </c>
    </row>
    <row r="36" spans="27:28" ht="20" customHeight="1" x14ac:dyDescent="0.2">
      <c r="AA36" s="42">
        <v>113</v>
      </c>
      <c r="AB36" s="42" t="s">
        <v>90</v>
      </c>
    </row>
    <row r="37" spans="27:28" ht="20" customHeight="1" x14ac:dyDescent="0.2">
      <c r="AA37" s="42">
        <v>114</v>
      </c>
      <c r="AB37" s="42" t="s">
        <v>122</v>
      </c>
    </row>
    <row r="38" spans="27:28" ht="20" customHeight="1" x14ac:dyDescent="0.2">
      <c r="AA38" s="42">
        <v>115</v>
      </c>
      <c r="AB38" s="42" t="s">
        <v>123</v>
      </c>
    </row>
    <row r="39" spans="27:28" ht="20" customHeight="1" x14ac:dyDescent="0.2">
      <c r="AA39" s="42">
        <v>116</v>
      </c>
      <c r="AB39" s="42" t="s">
        <v>118</v>
      </c>
    </row>
    <row r="40" spans="27:28" ht="20" customHeight="1" x14ac:dyDescent="0.2">
      <c r="AA40" s="42">
        <v>117</v>
      </c>
      <c r="AB40" s="42" t="s">
        <v>119</v>
      </c>
    </row>
    <row r="41" spans="27:28" ht="20" customHeight="1" x14ac:dyDescent="0.2">
      <c r="AA41" s="42">
        <v>118</v>
      </c>
      <c r="AB41" s="42" t="s">
        <v>120</v>
      </c>
    </row>
    <row r="42" spans="27:28" ht="20" customHeight="1" x14ac:dyDescent="0.2">
      <c r="AA42" s="42">
        <v>119</v>
      </c>
      <c r="AB42" s="42" t="s">
        <v>121</v>
      </c>
    </row>
    <row r="43" spans="27:28" ht="20" customHeight="1" x14ac:dyDescent="0.2">
      <c r="AA43" s="42">
        <v>120</v>
      </c>
      <c r="AB43" s="42" t="s">
        <v>103</v>
      </c>
    </row>
    <row r="44" spans="27:28" ht="20" customHeight="1" x14ac:dyDescent="0.2">
      <c r="AA44" s="42">
        <v>121</v>
      </c>
      <c r="AB44" s="42" t="s">
        <v>104</v>
      </c>
    </row>
    <row r="45" spans="27:28" ht="20" customHeight="1" x14ac:dyDescent="0.2">
      <c r="AA45" s="42">
        <v>122</v>
      </c>
      <c r="AB45" s="42" t="s">
        <v>101</v>
      </c>
    </row>
    <row r="46" spans="27:28" ht="20" customHeight="1" x14ac:dyDescent="0.2">
      <c r="AA46" s="42">
        <v>123</v>
      </c>
      <c r="AB46" s="42" t="s">
        <v>102</v>
      </c>
    </row>
    <row r="47" spans="27:28" ht="20" customHeight="1" x14ac:dyDescent="0.2">
      <c r="AA47" s="42">
        <v>124</v>
      </c>
      <c r="AB47" s="42" t="s">
        <v>94</v>
      </c>
    </row>
    <row r="48" spans="27:28" ht="20" customHeight="1" x14ac:dyDescent="0.2">
      <c r="AA48" s="42">
        <v>125</v>
      </c>
      <c r="AB48" s="42" t="s">
        <v>95</v>
      </c>
    </row>
  </sheetData>
  <mergeCells count="16">
    <mergeCell ref="FV11:GK11"/>
    <mergeCell ref="GL11:HA11"/>
    <mergeCell ref="HB11:HQ11"/>
    <mergeCell ref="HR11:IG11"/>
    <mergeCell ref="IH11:IW11"/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4"/>
  <sheetViews>
    <sheetView topLeftCell="B19" zoomScaleNormal="100" workbookViewId="0">
      <selection activeCell="W38" sqref="W38"/>
    </sheetView>
  </sheetViews>
  <sheetFormatPr baseColWidth="10" defaultColWidth="3.7109375" defaultRowHeight="20" customHeight="1" x14ac:dyDescent="0.2"/>
  <cols>
    <col min="1" max="1" width="0" style="138" hidden="1" customWidth="1"/>
    <col min="2" max="4" width="3.7109375" style="42"/>
    <col min="5" max="5" width="4" style="42" bestFit="1" customWidth="1"/>
    <col min="6" max="16" width="3.7109375" style="42"/>
    <col min="17" max="17" width="3.7109375" style="105"/>
    <col min="18" max="18" width="3.7109375" style="138"/>
    <col min="19" max="19" width="4" style="138" bestFit="1" customWidth="1"/>
    <col min="20" max="32" width="3.7109375" style="138"/>
    <col min="33" max="33" width="3.7109375" style="105"/>
    <col min="34" max="42" width="3.7109375" style="138"/>
    <col min="43" max="43" width="4" style="138" bestFit="1" customWidth="1"/>
    <col min="44" max="46" width="3.7109375" style="138"/>
    <col min="47" max="47" width="4" style="138" bestFit="1" customWidth="1"/>
    <col min="48" max="48" width="3.7109375" style="138"/>
    <col min="49" max="49" width="3.7109375" style="105"/>
    <col min="50" max="64" width="3.7109375" style="138"/>
    <col min="65" max="65" width="3.7109375" style="105"/>
    <col min="66" max="80" width="3.7109375" style="138"/>
    <col min="81" max="81" width="3.7109375" style="105"/>
    <col min="82" max="96" width="3.7109375" style="138"/>
    <col min="97" max="97" width="3.7109375" style="105"/>
    <col min="98" max="110" width="3.7109375" style="138"/>
    <col min="111" max="111" width="3.7109375" style="42"/>
    <col min="112" max="112" width="3.7109375" style="138"/>
    <col min="113" max="113" width="3.7109375" style="105"/>
    <col min="114" max="115" width="3.7109375" style="138"/>
    <col min="116" max="116" width="3.7109375" style="42"/>
    <col min="117" max="128" width="3.7109375" style="138"/>
    <col min="129" max="129" width="3.7109375" style="105"/>
    <col min="130" max="144" width="3.7109375" style="138"/>
    <col min="145" max="145" width="3.7109375" style="105"/>
    <col min="146" max="160" width="3.7109375" style="138"/>
    <col min="161" max="161" width="3.7109375" style="105"/>
    <col min="162" max="176" width="3.7109375" style="138"/>
    <col min="177" max="177" width="3.7109375" style="105"/>
    <col min="178" max="192" width="3.7109375" style="138"/>
    <col min="193" max="193" width="3.7109375" style="105"/>
    <col min="194" max="208" width="3.7109375" style="138"/>
    <col min="209" max="209" width="3.7109375" style="105"/>
    <col min="210" max="224" width="3.7109375" style="138"/>
    <col min="225" max="225" width="3.7109375" style="105"/>
    <col min="226" max="240" width="3.7109375" style="138"/>
    <col min="241" max="241" width="3.7109375" style="105"/>
    <col min="242" max="256" width="3.7109375" style="138"/>
    <col min="257" max="257" width="3.7109375" style="105"/>
    <col min="258" max="16384" width="3.7109375" style="138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93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93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93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8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43">
        <v>0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8">
        <v>70</v>
      </c>
      <c r="CR3" s="99">
        <v>27</v>
      </c>
      <c r="CS3" s="55">
        <v>84</v>
      </c>
      <c r="CT3" s="55">
        <v>84</v>
      </c>
      <c r="CU3" s="99">
        <v>27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57">
        <v>52</v>
      </c>
      <c r="DQ3" s="55">
        <v>84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9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9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20">
        <v>0</v>
      </c>
      <c r="GY3" s="120">
        <v>0</v>
      </c>
      <c r="GZ3" s="120">
        <v>0</v>
      </c>
      <c r="HA3" s="120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43">
        <v>0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8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1">
        <v>25</v>
      </c>
      <c r="DJ4" s="43">
        <v>0</v>
      </c>
      <c r="DK4" s="121">
        <v>25</v>
      </c>
      <c r="DL4" s="43">
        <v>0</v>
      </c>
      <c r="DM4" s="43">
        <v>0</v>
      </c>
      <c r="DN4" s="43">
        <v>0</v>
      </c>
      <c r="DO4" s="121">
        <v>25</v>
      </c>
      <c r="DP4" s="43">
        <v>0</v>
      </c>
      <c r="DQ4" s="55">
        <v>84</v>
      </c>
      <c r="DR4" s="43">
        <v>0</v>
      </c>
      <c r="DS4" s="64">
        <v>40</v>
      </c>
      <c r="DT4" s="43">
        <v>0</v>
      </c>
      <c r="DU4" s="68">
        <v>108</v>
      </c>
      <c r="DV4" s="64">
        <v>40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9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2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3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9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43">
        <v>0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68">
        <v>107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1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1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4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8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1">
        <v>25</v>
      </c>
      <c r="DE5" s="43">
        <v>0</v>
      </c>
      <c r="DF5" s="121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5">
        <v>44</v>
      </c>
      <c r="DO5" s="43">
        <v>0</v>
      </c>
      <c r="DP5" s="50">
        <v>40</v>
      </c>
      <c r="DQ5" s="55">
        <v>84</v>
      </c>
      <c r="DR5" s="43">
        <v>0</v>
      </c>
      <c r="DS5" s="60">
        <v>60</v>
      </c>
      <c r="DT5" s="43">
        <v>0</v>
      </c>
      <c r="DU5" s="43">
        <v>0</v>
      </c>
      <c r="DV5" s="60">
        <v>60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9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5">
        <v>43</v>
      </c>
      <c r="EZ5" s="50">
        <v>40</v>
      </c>
      <c r="FA5" s="43">
        <v>0</v>
      </c>
      <c r="FB5" s="43">
        <v>0</v>
      </c>
      <c r="FC5" s="50">
        <v>40</v>
      </c>
      <c r="FD5" s="126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9">
        <v>68</v>
      </c>
      <c r="GG5" s="43">
        <v>0</v>
      </c>
      <c r="GH5" s="87">
        <v>26</v>
      </c>
      <c r="GI5" s="125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1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7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8">
        <v>0</v>
      </c>
      <c r="F6" s="128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148">
        <v>124</v>
      </c>
      <c r="AK6" s="43">
        <v>0</v>
      </c>
      <c r="AL6" s="66">
        <v>58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121">
        <v>25</v>
      </c>
      <c r="AS6" s="43">
        <v>0</v>
      </c>
      <c r="AT6" s="43">
        <v>0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43">
        <v>0</v>
      </c>
      <c r="BQ6" s="51">
        <v>121</v>
      </c>
      <c r="BR6" s="43">
        <v>0</v>
      </c>
      <c r="BS6" s="43">
        <v>0</v>
      </c>
      <c r="BT6" s="43">
        <v>0</v>
      </c>
      <c r="BU6" s="129">
        <v>85</v>
      </c>
      <c r="BV6" s="129">
        <v>85</v>
      </c>
      <c r="BW6" s="129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8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9">
        <v>125</v>
      </c>
      <c r="DD6" s="43">
        <v>0</v>
      </c>
      <c r="DE6" s="43">
        <v>0</v>
      </c>
      <c r="DF6" s="43">
        <v>0</v>
      </c>
      <c r="DG6" s="148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87">
        <v>26</v>
      </c>
      <c r="DN6" s="60">
        <v>84</v>
      </c>
      <c r="DO6" s="87">
        <v>26</v>
      </c>
      <c r="DP6" s="60">
        <v>84</v>
      </c>
      <c r="DQ6" s="55">
        <v>84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9">
        <v>68</v>
      </c>
      <c r="EO6" s="127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1">
        <v>25</v>
      </c>
      <c r="FL6" s="43">
        <v>0</v>
      </c>
      <c r="FM6" s="121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9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43">
        <v>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1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43">
        <v>0</v>
      </c>
      <c r="HI6" s="43">
        <v>0</v>
      </c>
      <c r="HJ6" s="50">
        <v>40</v>
      </c>
      <c r="HK6" s="91">
        <v>99</v>
      </c>
      <c r="HL6" s="50">
        <v>40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43">
        <v>0</v>
      </c>
      <c r="IA6" s="43">
        <v>0</v>
      </c>
      <c r="IB6" s="43">
        <v>0</v>
      </c>
      <c r="IC6" s="51">
        <v>123</v>
      </c>
      <c r="ID6" s="121">
        <v>25</v>
      </c>
      <c r="IE6" s="148">
        <v>124</v>
      </c>
      <c r="IF6" s="121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30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147">
        <v>90</v>
      </c>
      <c r="AK7" s="43">
        <v>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43">
        <v>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8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7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43">
        <v>0</v>
      </c>
      <c r="DN7" s="43">
        <v>0</v>
      </c>
      <c r="DO7" s="43">
        <v>0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3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9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3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1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66">
        <v>58</v>
      </c>
      <c r="HL7" s="55">
        <v>84</v>
      </c>
      <c r="HM7" s="43">
        <v>0</v>
      </c>
      <c r="HN7" s="43">
        <v>0</v>
      </c>
      <c r="HO7" s="43">
        <v>0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7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1">
        <v>25</v>
      </c>
      <c r="IM7" s="43">
        <v>0</v>
      </c>
      <c r="IN7" s="121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59">
        <v>110</v>
      </c>
      <c r="Q8" s="55">
        <v>84</v>
      </c>
      <c r="R8" s="55">
        <v>84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30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66">
        <v>58</v>
      </c>
      <c r="AM8" s="43">
        <v>0</v>
      </c>
      <c r="AN8" s="43">
        <v>0</v>
      </c>
      <c r="AO8" s="43">
        <v>0</v>
      </c>
      <c r="AP8" s="43">
        <v>0</v>
      </c>
      <c r="AQ8" s="43">
        <v>0</v>
      </c>
      <c r="AR8" s="43">
        <v>0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130">
        <v>108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43">
        <v>0</v>
      </c>
      <c r="CC8" s="43">
        <v>0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1">
        <v>25</v>
      </c>
      <c r="DG8" s="43">
        <v>0</v>
      </c>
      <c r="DH8" s="121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43">
        <v>0</v>
      </c>
      <c r="DS8" s="43">
        <v>0</v>
      </c>
      <c r="DT8" s="43">
        <v>0</v>
      </c>
      <c r="DU8" s="60">
        <v>60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3">
        <v>22</v>
      </c>
      <c r="EF8" s="43">
        <v>0</v>
      </c>
      <c r="EG8" s="43">
        <v>0</v>
      </c>
      <c r="EH8" s="43">
        <v>0</v>
      </c>
      <c r="EI8" s="43">
        <v>0</v>
      </c>
      <c r="EJ8" s="123">
        <v>23</v>
      </c>
      <c r="EK8" s="43">
        <v>0</v>
      </c>
      <c r="EL8" s="43">
        <v>0</v>
      </c>
      <c r="EM8" s="43">
        <v>0</v>
      </c>
      <c r="EN8" s="119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1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43">
        <v>0</v>
      </c>
      <c r="HO8" s="89">
        <v>119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1">
        <v>25</v>
      </c>
      <c r="IC8" s="43">
        <v>0</v>
      </c>
      <c r="ID8" s="121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1">
        <v>50</v>
      </c>
      <c r="IS8" s="131">
        <v>50</v>
      </c>
      <c r="IT8" s="131">
        <v>50</v>
      </c>
      <c r="IU8" s="131">
        <v>50</v>
      </c>
      <c r="IV8" s="131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54">
        <v>0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47">
        <v>0</v>
      </c>
      <c r="J9" s="132">
        <v>104</v>
      </c>
      <c r="K9" s="133">
        <v>35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4">
        <v>98</v>
      </c>
      <c r="AF9" s="55">
        <v>84</v>
      </c>
      <c r="AG9" s="55">
        <v>84</v>
      </c>
      <c r="AH9" s="55">
        <v>84</v>
      </c>
      <c r="AI9" s="43">
        <v>0</v>
      </c>
      <c r="AJ9" s="43">
        <v>0</v>
      </c>
      <c r="AK9" s="43">
        <v>0</v>
      </c>
      <c r="AL9" s="43">
        <v>0</v>
      </c>
      <c r="AM9" s="43">
        <v>0</v>
      </c>
      <c r="AN9" s="57">
        <v>54</v>
      </c>
      <c r="AO9" s="57">
        <v>55</v>
      </c>
      <c r="AP9" s="57">
        <v>55</v>
      </c>
      <c r="AQ9" s="57">
        <v>54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2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43">
        <v>0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85">
        <v>77</v>
      </c>
      <c r="CA9" s="43">
        <v>0</v>
      </c>
      <c r="CB9" s="43">
        <v>0</v>
      </c>
      <c r="CC9" s="43">
        <v>0</v>
      </c>
      <c r="CD9" s="85">
        <v>77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30">
        <v>112</v>
      </c>
      <c r="DD9" s="91">
        <v>99</v>
      </c>
      <c r="DE9" s="43">
        <v>0</v>
      </c>
      <c r="DF9" s="43">
        <v>0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2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3">
        <v>22</v>
      </c>
      <c r="EF9" s="50">
        <v>40</v>
      </c>
      <c r="EG9" s="64">
        <v>40</v>
      </c>
      <c r="EH9" s="64">
        <v>40</v>
      </c>
      <c r="EI9" s="50">
        <v>40</v>
      </c>
      <c r="EJ9" s="135">
        <v>22</v>
      </c>
      <c r="EK9" s="50">
        <v>40</v>
      </c>
      <c r="EL9" s="43">
        <v>0</v>
      </c>
      <c r="EM9" s="57">
        <v>53</v>
      </c>
      <c r="EN9" s="119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30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6">
        <v>114</v>
      </c>
      <c r="GZ9" s="43">
        <v>0</v>
      </c>
      <c r="HA9" s="43">
        <v>0</v>
      </c>
      <c r="HB9" s="43">
        <v>0</v>
      </c>
      <c r="HC9" s="22">
        <v>68</v>
      </c>
      <c r="HD9" s="43">
        <v>0</v>
      </c>
      <c r="HE9" s="43">
        <v>0</v>
      </c>
      <c r="HF9" s="136">
        <v>114</v>
      </c>
      <c r="HG9" s="50">
        <v>40</v>
      </c>
      <c r="HH9" s="125">
        <v>41</v>
      </c>
      <c r="HI9" s="136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6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3">
        <v>100</v>
      </c>
      <c r="IG9" s="43">
        <v>0</v>
      </c>
      <c r="IH9" s="43">
        <v>0</v>
      </c>
      <c r="II9" s="43">
        <v>0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1">
        <v>51</v>
      </c>
      <c r="IS9" s="131">
        <v>51</v>
      </c>
      <c r="IT9" s="131">
        <v>51</v>
      </c>
      <c r="IU9" s="131">
        <v>51</v>
      </c>
      <c r="IV9" s="131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8">
        <v>70</v>
      </c>
      <c r="AF10" s="55">
        <v>84</v>
      </c>
      <c r="AG10" s="55">
        <v>84</v>
      </c>
      <c r="AH10" s="55">
        <v>84</v>
      </c>
      <c r="AI10" s="55">
        <v>84</v>
      </c>
      <c r="AJ10" s="118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7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7">
        <v>50</v>
      </c>
      <c r="HF10" s="137">
        <v>50</v>
      </c>
      <c r="HG10" s="55">
        <v>84</v>
      </c>
      <c r="HH10" s="55">
        <v>84</v>
      </c>
      <c r="HI10" s="137">
        <v>50</v>
      </c>
      <c r="HJ10" s="137">
        <v>50</v>
      </c>
      <c r="HK10" s="137">
        <v>50</v>
      </c>
      <c r="HL10" s="131">
        <v>50</v>
      </c>
      <c r="HM10" s="131">
        <v>50</v>
      </c>
      <c r="HN10" s="131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1">
        <v>50</v>
      </c>
      <c r="HV10" s="131">
        <v>50</v>
      </c>
      <c r="HW10" s="131">
        <v>50</v>
      </c>
      <c r="HX10" s="131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55" t="s">
        <v>137</v>
      </c>
      <c r="C11" s="255"/>
      <c r="D11" s="255"/>
      <c r="E11" s="255"/>
      <c r="F11" s="255"/>
      <c r="G11" s="255"/>
      <c r="H11" s="255"/>
      <c r="I11" s="255"/>
      <c r="J11" s="255"/>
      <c r="K11" s="255"/>
      <c r="L11" s="255"/>
      <c r="M11" s="255"/>
      <c r="N11" s="255"/>
      <c r="O11" s="255"/>
      <c r="P11" s="255"/>
      <c r="Q11" s="255"/>
      <c r="R11" s="255"/>
      <c r="S11" s="255"/>
      <c r="T11" s="255"/>
      <c r="U11" s="255"/>
      <c r="V11" s="255"/>
      <c r="W11" s="255"/>
      <c r="X11" s="255"/>
      <c r="Y11" s="255"/>
      <c r="Z11" s="255"/>
      <c r="AA11" s="255"/>
      <c r="AB11" s="255"/>
      <c r="AC11" s="255"/>
      <c r="AD11" s="255"/>
      <c r="AE11" s="255"/>
      <c r="AF11" s="255"/>
      <c r="AG11" s="255"/>
      <c r="AH11" s="255"/>
      <c r="AI11" s="255"/>
      <c r="AJ11" s="255"/>
      <c r="AK11" s="255"/>
      <c r="AL11" s="255"/>
      <c r="AM11" s="255"/>
      <c r="AN11" s="255"/>
      <c r="AO11" s="255"/>
      <c r="AP11" s="255"/>
      <c r="AQ11" s="255"/>
      <c r="AR11" s="255"/>
      <c r="AS11" s="255"/>
      <c r="AT11" s="255"/>
      <c r="AU11" s="255"/>
      <c r="AV11" s="255"/>
      <c r="AW11" s="255"/>
      <c r="AX11" s="255"/>
      <c r="AY11" s="255"/>
      <c r="AZ11" s="255"/>
      <c r="BA11" s="255"/>
      <c r="BB11" s="255"/>
      <c r="BC11" s="255"/>
      <c r="BD11" s="255"/>
      <c r="BE11" s="255"/>
      <c r="BF11" s="255"/>
      <c r="BG11" s="255"/>
      <c r="BH11" s="255"/>
      <c r="BI11" s="255"/>
      <c r="BJ11" s="255"/>
      <c r="BK11" s="255"/>
      <c r="BL11" s="255"/>
      <c r="BM11" s="256"/>
      <c r="BN11" s="255" t="s">
        <v>138</v>
      </c>
      <c r="BO11" s="255"/>
      <c r="BP11" s="255"/>
      <c r="BQ11" s="255"/>
      <c r="BR11" s="255"/>
      <c r="BS11" s="255"/>
      <c r="BT11" s="255"/>
      <c r="BU11" s="255"/>
      <c r="BV11" s="255"/>
      <c r="BW11" s="255"/>
      <c r="BX11" s="255"/>
      <c r="BY11" s="255"/>
      <c r="BZ11" s="255"/>
      <c r="CA11" s="255"/>
      <c r="CB11" s="255"/>
      <c r="CC11" s="255"/>
      <c r="CD11" s="255"/>
      <c r="CE11" s="255"/>
      <c r="CF11" s="255"/>
      <c r="CG11" s="255"/>
      <c r="CH11" s="255"/>
      <c r="CI11" s="255"/>
      <c r="CJ11" s="255"/>
      <c r="CK11" s="255"/>
      <c r="CL11" s="255"/>
      <c r="CM11" s="255"/>
      <c r="CN11" s="255"/>
      <c r="CO11" s="255"/>
      <c r="CP11" s="255"/>
      <c r="CQ11" s="255"/>
      <c r="CR11" s="255"/>
      <c r="CS11" s="255"/>
      <c r="CT11" s="255"/>
      <c r="CU11" s="255"/>
      <c r="CV11" s="255"/>
      <c r="CW11" s="255"/>
      <c r="CX11" s="255"/>
      <c r="CY11" s="255"/>
      <c r="CZ11" s="255"/>
      <c r="DA11" s="255"/>
      <c r="DB11" s="255"/>
      <c r="DC11" s="255"/>
      <c r="DD11" s="255"/>
      <c r="DE11" s="255"/>
      <c r="DF11" s="255"/>
      <c r="DG11" s="255"/>
      <c r="DH11" s="255"/>
      <c r="DI11" s="255"/>
      <c r="DJ11" s="255"/>
      <c r="DK11" s="255"/>
      <c r="DL11" s="255"/>
      <c r="DM11" s="255"/>
      <c r="DN11" s="255"/>
      <c r="DO11" s="255"/>
      <c r="DP11" s="255"/>
      <c r="DQ11" s="255"/>
      <c r="DR11" s="255"/>
      <c r="DS11" s="255"/>
      <c r="DT11" s="255"/>
      <c r="DU11" s="255"/>
      <c r="DV11" s="255"/>
      <c r="DW11" s="255"/>
      <c r="DX11" s="255"/>
      <c r="DY11" s="256"/>
      <c r="DZ11" s="257" t="s">
        <v>139</v>
      </c>
      <c r="EA11" s="258"/>
      <c r="EB11" s="258"/>
      <c r="EC11" s="258"/>
      <c r="ED11" s="258"/>
      <c r="EE11" s="258"/>
      <c r="EF11" s="258"/>
      <c r="EG11" s="258"/>
      <c r="EH11" s="258"/>
      <c r="EI11" s="258"/>
      <c r="EJ11" s="258"/>
      <c r="EK11" s="258"/>
      <c r="EL11" s="258"/>
      <c r="EM11" s="258"/>
      <c r="EN11" s="258"/>
      <c r="EO11" s="258"/>
      <c r="EP11" s="258"/>
      <c r="EQ11" s="258"/>
      <c r="ER11" s="258"/>
      <c r="ES11" s="258"/>
      <c r="ET11" s="258"/>
      <c r="EU11" s="258"/>
      <c r="EV11" s="258"/>
      <c r="EW11" s="258"/>
      <c r="EX11" s="258"/>
      <c r="EY11" s="258"/>
      <c r="EZ11" s="258"/>
      <c r="FA11" s="258"/>
      <c r="FB11" s="258"/>
      <c r="FC11" s="258"/>
      <c r="FD11" s="258"/>
      <c r="FE11" s="258"/>
      <c r="FF11" s="258"/>
      <c r="FG11" s="258"/>
      <c r="FH11" s="258"/>
      <c r="FI11" s="258"/>
      <c r="FJ11" s="258"/>
      <c r="FK11" s="258"/>
      <c r="FL11" s="258"/>
      <c r="FM11" s="258"/>
      <c r="FN11" s="258"/>
      <c r="FO11" s="258"/>
      <c r="FP11" s="258"/>
      <c r="FQ11" s="258"/>
      <c r="FR11" s="258"/>
      <c r="FS11" s="258"/>
      <c r="FT11" s="258"/>
      <c r="FU11" s="258"/>
      <c r="FV11" s="258"/>
      <c r="FW11" s="258"/>
      <c r="FX11" s="258"/>
      <c r="FY11" s="258"/>
      <c r="FZ11" s="258"/>
      <c r="GA11" s="258"/>
      <c r="GB11" s="258"/>
      <c r="GC11" s="258"/>
      <c r="GD11" s="258"/>
      <c r="GE11" s="258"/>
      <c r="GF11" s="258"/>
      <c r="GG11" s="258"/>
      <c r="GH11" s="258"/>
      <c r="GI11" s="258"/>
      <c r="GJ11" s="258"/>
      <c r="GK11" s="259"/>
      <c r="GL11" s="260" t="s">
        <v>140</v>
      </c>
      <c r="GM11" s="258"/>
      <c r="GN11" s="258"/>
      <c r="GO11" s="258"/>
      <c r="GP11" s="258"/>
      <c r="GQ11" s="258"/>
      <c r="GR11" s="258"/>
      <c r="GS11" s="258"/>
      <c r="GT11" s="258"/>
      <c r="GU11" s="258"/>
      <c r="GV11" s="258"/>
      <c r="GW11" s="258"/>
      <c r="GX11" s="258"/>
      <c r="GY11" s="258"/>
      <c r="GZ11" s="258"/>
      <c r="HA11" s="258"/>
      <c r="HB11" s="258"/>
      <c r="HC11" s="258"/>
      <c r="HD11" s="258"/>
      <c r="HE11" s="258"/>
      <c r="HF11" s="258"/>
      <c r="HG11" s="258"/>
      <c r="HH11" s="258"/>
      <c r="HI11" s="258"/>
      <c r="HJ11" s="258"/>
      <c r="HK11" s="258"/>
      <c r="HL11" s="258"/>
      <c r="HM11" s="258"/>
      <c r="HN11" s="258"/>
      <c r="HO11" s="258"/>
      <c r="HP11" s="258"/>
      <c r="HQ11" s="258"/>
      <c r="HR11" s="258"/>
      <c r="HS11" s="258"/>
      <c r="HT11" s="258"/>
      <c r="HU11" s="258"/>
      <c r="HV11" s="258"/>
      <c r="HW11" s="258"/>
      <c r="HX11" s="258"/>
      <c r="HY11" s="258"/>
      <c r="HZ11" s="258"/>
      <c r="IA11" s="258"/>
      <c r="IB11" s="258"/>
      <c r="IC11" s="258"/>
      <c r="ID11" s="258"/>
      <c r="IE11" s="258"/>
      <c r="IF11" s="258"/>
      <c r="IG11" s="258"/>
      <c r="IH11" s="258"/>
      <c r="II11" s="258"/>
      <c r="IJ11" s="258"/>
      <c r="IK11" s="258"/>
      <c r="IL11" s="258"/>
      <c r="IM11" s="258"/>
      <c r="IN11" s="258"/>
      <c r="IO11" s="258"/>
      <c r="IP11" s="258"/>
      <c r="IQ11" s="258"/>
      <c r="IR11" s="258"/>
      <c r="IS11" s="258"/>
      <c r="IT11" s="258"/>
      <c r="IU11" s="258"/>
      <c r="IV11" s="258"/>
      <c r="IW11" s="259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8" t="s">
        <v>184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4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8">
        <v>0</v>
      </c>
      <c r="F23" s="128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148">
        <v>124</v>
      </c>
      <c r="AK23" s="43">
        <v>0</v>
      </c>
      <c r="AL23" s="66">
        <v>58</v>
      </c>
      <c r="AM23" s="43">
        <v>0</v>
      </c>
      <c r="AN23" s="43">
        <v>0</v>
      </c>
      <c r="AO23" s="43">
        <v>0</v>
      </c>
      <c r="AP23" s="43">
        <v>0</v>
      </c>
      <c r="AQ23" s="43">
        <v>0</v>
      </c>
      <c r="AR23" s="121">
        <v>25</v>
      </c>
      <c r="AS23" s="43">
        <v>0</v>
      </c>
      <c r="AT23" s="43">
        <v>0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147">
        <v>90</v>
      </c>
      <c r="AK24" s="43">
        <v>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59">
        <v>110</v>
      </c>
      <c r="Q25" s="55">
        <v>84</v>
      </c>
      <c r="R25" s="55">
        <v>84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30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66">
        <v>58</v>
      </c>
      <c r="AM25" s="43">
        <v>0</v>
      </c>
      <c r="AN25" s="43">
        <v>0</v>
      </c>
      <c r="AO25" s="43">
        <v>0</v>
      </c>
      <c r="AP25" s="43">
        <v>0</v>
      </c>
      <c r="AQ25" s="43">
        <v>0</v>
      </c>
      <c r="AR25" s="43">
        <v>0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54">
        <v>0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47">
        <v>0</v>
      </c>
      <c r="J26" s="132">
        <v>104</v>
      </c>
      <c r="K26" s="133">
        <v>35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4">
        <v>98</v>
      </c>
      <c r="AF26" s="55">
        <v>84</v>
      </c>
      <c r="AG26" s="55">
        <v>84</v>
      </c>
      <c r="AH26" s="55">
        <v>84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57">
        <v>54</v>
      </c>
      <c r="AO26" s="57">
        <v>55</v>
      </c>
      <c r="AP26" s="57">
        <v>55</v>
      </c>
      <c r="AQ26" s="57">
        <v>54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2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8">
        <v>70</v>
      </c>
      <c r="AF27" s="55">
        <v>84</v>
      </c>
      <c r="AG27" s="55">
        <v>84</v>
      </c>
      <c r="AH27" s="55">
        <v>84</v>
      </c>
      <c r="AI27" s="55">
        <v>84</v>
      </c>
      <c r="AJ27" s="118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8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8">
        <v>70</v>
      </c>
      <c r="AF29" s="99">
        <v>27</v>
      </c>
      <c r="AG29" s="55">
        <v>84</v>
      </c>
      <c r="AH29" s="55">
        <v>84</v>
      </c>
      <c r="AI29" s="99">
        <v>27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57">
        <v>52</v>
      </c>
      <c r="BE29" s="55">
        <v>84</v>
      </c>
      <c r="BF29" s="43">
        <v>0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8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1">
        <v>25</v>
      </c>
      <c r="AX30" s="43">
        <v>0</v>
      </c>
      <c r="AY30" s="121">
        <v>25</v>
      </c>
      <c r="AZ30" s="43">
        <v>0</v>
      </c>
      <c r="BA30" s="43">
        <v>0</v>
      </c>
      <c r="BB30" s="43">
        <v>0</v>
      </c>
      <c r="BC30" s="121">
        <v>25</v>
      </c>
      <c r="BD30" s="43">
        <v>0</v>
      </c>
      <c r="BE30" s="55">
        <v>84</v>
      </c>
      <c r="BF30" s="43">
        <v>0</v>
      </c>
      <c r="BG30" s="64">
        <v>40</v>
      </c>
      <c r="BH30" s="43">
        <v>0</v>
      </c>
      <c r="BI30" s="68">
        <v>108</v>
      </c>
      <c r="BJ30" s="64">
        <v>40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8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1">
        <v>25</v>
      </c>
      <c r="AS31" s="43">
        <v>0</v>
      </c>
      <c r="AT31" s="121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5">
        <v>44</v>
      </c>
      <c r="BC31" s="43">
        <v>0</v>
      </c>
      <c r="BD31" s="50">
        <v>40</v>
      </c>
      <c r="BE31" s="55">
        <v>84</v>
      </c>
      <c r="BF31" s="43">
        <v>0</v>
      </c>
      <c r="BG31" s="60">
        <v>60</v>
      </c>
      <c r="BH31" s="43">
        <v>0</v>
      </c>
      <c r="BI31" s="43">
        <v>0</v>
      </c>
      <c r="BJ31" s="60">
        <v>60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43">
        <v>0</v>
      </c>
      <c r="E32" s="51">
        <v>121</v>
      </c>
      <c r="F32" s="43">
        <v>0</v>
      </c>
      <c r="G32" s="43">
        <v>0</v>
      </c>
      <c r="H32" s="43">
        <v>0</v>
      </c>
      <c r="I32" s="129">
        <v>85</v>
      </c>
      <c r="J32" s="129">
        <v>85</v>
      </c>
      <c r="K32" s="129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8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9">
        <v>125</v>
      </c>
      <c r="AR32" s="43">
        <v>0</v>
      </c>
      <c r="AS32" s="43">
        <v>0</v>
      </c>
      <c r="AT32" s="43">
        <v>0</v>
      </c>
      <c r="AU32" s="148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87">
        <v>26</v>
      </c>
      <c r="BB32" s="60">
        <v>84</v>
      </c>
      <c r="BC32" s="87">
        <v>26</v>
      </c>
      <c r="BD32" s="60">
        <v>84</v>
      </c>
      <c r="BE32" s="55">
        <v>84</v>
      </c>
      <c r="BF32" s="43">
        <v>0</v>
      </c>
      <c r="BG32" s="43">
        <v>0</v>
      </c>
      <c r="BH32" s="43">
        <v>0</v>
      </c>
      <c r="BI32" s="43">
        <v>0</v>
      </c>
      <c r="BJ32" s="43">
        <v>0</v>
      </c>
      <c r="BK32" s="43">
        <v>0</v>
      </c>
      <c r="BL32" s="43">
        <v>0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8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7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43">
        <v>0</v>
      </c>
      <c r="BB33" s="43">
        <v>0</v>
      </c>
      <c r="BC33" s="43">
        <v>0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130">
        <v>108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43">
        <v>0</v>
      </c>
      <c r="Q34" s="43">
        <v>0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1">
        <v>25</v>
      </c>
      <c r="AU34" s="43">
        <v>0</v>
      </c>
      <c r="AV34" s="121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43">
        <v>0</v>
      </c>
      <c r="BG34" s="43">
        <v>0</v>
      </c>
      <c r="BH34" s="43">
        <v>0</v>
      </c>
      <c r="BI34" s="60">
        <v>60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43">
        <v>0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85">
        <v>77</v>
      </c>
      <c r="O35" s="43">
        <v>0</v>
      </c>
      <c r="P35" s="43">
        <v>0</v>
      </c>
      <c r="Q35" s="43">
        <v>0</v>
      </c>
      <c r="R35" s="85">
        <v>77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30">
        <v>112</v>
      </c>
      <c r="AR35" s="91">
        <v>99</v>
      </c>
      <c r="AS35" s="43">
        <v>0</v>
      </c>
      <c r="AT35" s="43">
        <v>0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2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9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9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9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2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3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9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9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5">
        <v>43</v>
      </c>
      <c r="AB40" s="50">
        <v>40</v>
      </c>
      <c r="AC40" s="43">
        <v>0</v>
      </c>
      <c r="AD40" s="43">
        <v>0</v>
      </c>
      <c r="AE40" s="50">
        <v>40</v>
      </c>
      <c r="AF40" s="126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9">
        <v>68</v>
      </c>
      <c r="BI40" s="43">
        <v>0</v>
      </c>
      <c r="BJ40" s="87">
        <v>26</v>
      </c>
      <c r="BK40" s="125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9">
        <v>68</v>
      </c>
      <c r="Q41" s="127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1">
        <v>25</v>
      </c>
      <c r="AN41" s="43">
        <v>0</v>
      </c>
      <c r="AO41" s="121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9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3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9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3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3">
        <v>22</v>
      </c>
      <c r="H43" s="43">
        <v>0</v>
      </c>
      <c r="I43" s="43">
        <v>0</v>
      </c>
      <c r="J43" s="43">
        <v>0</v>
      </c>
      <c r="K43" s="43">
        <v>0</v>
      </c>
      <c r="L43" s="123">
        <v>23</v>
      </c>
      <c r="M43" s="43">
        <v>0</v>
      </c>
      <c r="N43" s="43">
        <v>0</v>
      </c>
      <c r="O43" s="43">
        <v>0</v>
      </c>
      <c r="P43" s="119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3">
        <v>22</v>
      </c>
      <c r="H44" s="50">
        <v>40</v>
      </c>
      <c r="I44" s="64">
        <v>40</v>
      </c>
      <c r="J44" s="64">
        <v>40</v>
      </c>
      <c r="K44" s="50">
        <v>40</v>
      </c>
      <c r="L44" s="135">
        <v>22</v>
      </c>
      <c r="M44" s="50">
        <v>40</v>
      </c>
      <c r="N44" s="43">
        <v>0</v>
      </c>
      <c r="O44" s="57">
        <v>53</v>
      </c>
      <c r="P44" s="119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30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43">
        <v>0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20">
        <v>0</v>
      </c>
      <c r="O47" s="120">
        <v>0</v>
      </c>
      <c r="P47" s="120">
        <v>0</v>
      </c>
      <c r="Q47" s="120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43">
        <v>0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68">
        <v>107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1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1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1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7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43">
        <v>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1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43">
        <v>0</v>
      </c>
      <c r="Y50" s="43">
        <v>0</v>
      </c>
      <c r="Z50" s="50">
        <v>40</v>
      </c>
      <c r="AA50" s="91">
        <v>99</v>
      </c>
      <c r="AB50" s="50">
        <v>40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43">
        <v>0</v>
      </c>
      <c r="AQ50" s="43">
        <v>0</v>
      </c>
      <c r="AR50" s="43">
        <v>0</v>
      </c>
      <c r="AS50" s="51">
        <v>123</v>
      </c>
      <c r="AT50" s="121">
        <v>25</v>
      </c>
      <c r="AU50" s="148">
        <v>124</v>
      </c>
      <c r="AV50" s="121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30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1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66">
        <v>58</v>
      </c>
      <c r="AB51" s="55">
        <v>84</v>
      </c>
      <c r="AC51" s="43">
        <v>0</v>
      </c>
      <c r="AD51" s="43">
        <v>0</v>
      </c>
      <c r="AE51" s="43">
        <v>0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7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1">
        <v>25</v>
      </c>
      <c r="BC51" s="43">
        <v>0</v>
      </c>
      <c r="BD51" s="121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1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43">
        <v>0</v>
      </c>
      <c r="AE52" s="89">
        <v>119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1">
        <v>25</v>
      </c>
      <c r="AS52" s="43">
        <v>0</v>
      </c>
      <c r="AT52" s="121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1">
        <v>50</v>
      </c>
      <c r="BI52" s="131">
        <v>50</v>
      </c>
      <c r="BJ52" s="131">
        <v>50</v>
      </c>
      <c r="BK52" s="131">
        <v>50</v>
      </c>
      <c r="BL52" s="131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6">
        <v>114</v>
      </c>
      <c r="P53" s="43">
        <v>0</v>
      </c>
      <c r="Q53" s="43">
        <v>0</v>
      </c>
      <c r="R53" s="43">
        <v>0</v>
      </c>
      <c r="S53" s="22">
        <v>68</v>
      </c>
      <c r="T53" s="43">
        <v>0</v>
      </c>
      <c r="U53" s="43">
        <v>0</v>
      </c>
      <c r="V53" s="136">
        <v>114</v>
      </c>
      <c r="W53" s="50">
        <v>40</v>
      </c>
      <c r="X53" s="125">
        <v>41</v>
      </c>
      <c r="Y53" s="136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6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3">
        <v>100</v>
      </c>
      <c r="AW53" s="43">
        <v>0</v>
      </c>
      <c r="AX53" s="43">
        <v>0</v>
      </c>
      <c r="AY53" s="43">
        <v>0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1">
        <v>51</v>
      </c>
      <c r="BI53" s="131">
        <v>51</v>
      </c>
      <c r="BJ53" s="131">
        <v>51</v>
      </c>
      <c r="BK53" s="131">
        <v>51</v>
      </c>
      <c r="BL53" s="131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7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7">
        <v>50</v>
      </c>
      <c r="V54" s="137">
        <v>50</v>
      </c>
      <c r="W54" s="55">
        <v>84</v>
      </c>
      <c r="X54" s="55">
        <v>84</v>
      </c>
      <c r="Y54" s="137">
        <v>50</v>
      </c>
      <c r="Z54" s="137">
        <v>50</v>
      </c>
      <c r="AA54" s="137">
        <v>50</v>
      </c>
      <c r="AB54" s="131">
        <v>50</v>
      </c>
      <c r="AC54" s="131">
        <v>50</v>
      </c>
      <c r="AD54" s="131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1">
        <v>50</v>
      </c>
      <c r="AL54" s="131">
        <v>50</v>
      </c>
      <c r="AM54" s="131">
        <v>50</v>
      </c>
      <c r="AN54" s="131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6" t="s">
        <v>167</v>
      </c>
      <c r="C57" s="107"/>
      <c r="D57" s="107"/>
      <c r="E57" s="108">
        <f>COUNTIF($B$2:$IW$10,40)</f>
        <v>99</v>
      </c>
      <c r="F57" s="109">
        <v>100</v>
      </c>
    </row>
    <row r="58" spans="2:65" ht="20" customHeight="1" x14ac:dyDescent="0.2">
      <c r="B58" s="110" t="s">
        <v>168</v>
      </c>
      <c r="C58" s="111"/>
      <c r="D58" s="111"/>
      <c r="E58" s="112">
        <f>COUNTIF($B$2:$IW$10,121) + COUNTIF($B$2:$IW$10,122)</f>
        <v>4</v>
      </c>
      <c r="F58" s="113">
        <v>4</v>
      </c>
    </row>
    <row r="59" spans="2:65" ht="20" customHeight="1" x14ac:dyDescent="0.2">
      <c r="B59" s="110" t="s">
        <v>169</v>
      </c>
      <c r="C59" s="111"/>
      <c r="D59" s="111"/>
      <c r="E59" s="112">
        <f>COUNTIF($B$2:$IW$10,123) + COUNTIF($B$2:$IW$10,124)</f>
        <v>4</v>
      </c>
      <c r="F59" s="113">
        <v>4</v>
      </c>
    </row>
    <row r="60" spans="2:65" ht="20" customHeight="1" x14ac:dyDescent="0.2">
      <c r="B60" s="110" t="s">
        <v>170</v>
      </c>
      <c r="C60" s="111"/>
      <c r="D60" s="111"/>
      <c r="E60" s="112">
        <f>COUNTIF($B$2:$IW$10,125) + COUNTIF($B$2:$IW$10,126)</f>
        <v>1</v>
      </c>
      <c r="F60" s="113">
        <v>1</v>
      </c>
    </row>
    <row r="61" spans="2:65" ht="20" customHeight="1" x14ac:dyDescent="0.2">
      <c r="B61" s="110" t="s">
        <v>171</v>
      </c>
      <c r="C61" s="111"/>
      <c r="D61" s="111"/>
      <c r="E61" s="112">
        <f>COUNTIF($B$2:$IW$10,41) + COUNTIF($B$2:$IW$10,42)+COUNTIF($B$2:$IW$10,43) + COUNTIF($B$2:$IW$10,44)+COUNTIF($B$2:$IW$10,45) + COUNTIF($B$2:$IW$10,46)</f>
        <v>6</v>
      </c>
      <c r="F61" s="113">
        <v>6</v>
      </c>
    </row>
    <row r="62" spans="2:65" ht="20" customHeight="1" x14ac:dyDescent="0.2">
      <c r="B62" s="110" t="s">
        <v>172</v>
      </c>
      <c r="C62" s="111"/>
      <c r="D62" s="111"/>
      <c r="E62" s="112">
        <f>COUNTIF($B$2:$IW$10,47)</f>
        <v>1</v>
      </c>
      <c r="F62" s="113">
        <v>1</v>
      </c>
    </row>
    <row r="63" spans="2:65" ht="20" customHeight="1" x14ac:dyDescent="0.2">
      <c r="B63" s="110" t="s">
        <v>173</v>
      </c>
      <c r="C63" s="111"/>
      <c r="D63" s="111"/>
      <c r="E63" s="112">
        <f>COUNTIF($B$2:$IW$10,36) + COUNTIF($B$2:$IW$10,37)+COUNTIF($B$2:$IW$10,38) + COUNTIF($B$2:$IW$10,39)</f>
        <v>4</v>
      </c>
      <c r="F63" s="113">
        <v>4</v>
      </c>
    </row>
    <row r="64" spans="2:65" ht="20" customHeight="1" thickBot="1" x14ac:dyDescent="0.25">
      <c r="B64" s="114" t="s">
        <v>174</v>
      </c>
      <c r="C64" s="115"/>
      <c r="D64" s="115"/>
      <c r="E64" s="116">
        <f>COUNTIF($B$2:$IW$10,72) + COUNTIF($B$2:$IW$10,73)+COUNTIF($B$2:$IW$10,74) + COUNTIF($B$2:$IW$10,75)</f>
        <v>4</v>
      </c>
      <c r="F64" s="117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T19" zoomScaleNormal="100" workbookViewId="0">
      <selection activeCell="Y21" sqref="Y21"/>
    </sheetView>
  </sheetViews>
  <sheetFormatPr baseColWidth="10" defaultColWidth="3.7109375" defaultRowHeight="20" customHeight="1" x14ac:dyDescent="0.15"/>
  <cols>
    <col min="1" max="1" width="3.7109375" style="217" hidden="1" customWidth="1"/>
    <col min="2" max="16" width="3.7109375" style="218" customWidth="1"/>
    <col min="17" max="17" width="3.7109375" style="219" customWidth="1"/>
    <col min="18" max="32" width="3.7109375" style="217" customWidth="1"/>
    <col min="33" max="33" width="3.7109375" style="219" customWidth="1"/>
    <col min="34" max="48" width="3.7109375" style="217" customWidth="1"/>
    <col min="49" max="49" width="3.7109375" style="218" customWidth="1"/>
    <col min="50" max="50" width="3.7109375" style="220" customWidth="1"/>
    <col min="51" max="64" width="3.7109375" style="217" customWidth="1"/>
    <col min="65" max="65" width="3.7109375" style="219" customWidth="1"/>
    <col min="66" max="80" width="3.7109375" style="217" customWidth="1"/>
    <col min="81" max="81" width="3.7109375" style="219" customWidth="1"/>
    <col min="82" max="96" width="3.7109375" style="217" customWidth="1"/>
    <col min="97" max="97" width="3.7109375" style="219" customWidth="1"/>
    <col min="98" max="110" width="3.7109375" style="217" customWidth="1"/>
    <col min="111" max="111" width="3.7109375" style="218" customWidth="1"/>
    <col min="112" max="112" width="3.7109375" style="217" customWidth="1"/>
    <col min="113" max="113" width="3.7109375" style="219" customWidth="1"/>
    <col min="114" max="115" width="3.7109375" style="217" customWidth="1"/>
    <col min="116" max="116" width="3.7109375" style="218" customWidth="1"/>
    <col min="117" max="128" width="3.7109375" style="217" customWidth="1"/>
    <col min="129" max="129" width="3.7109375" style="219" customWidth="1"/>
    <col min="130" max="144" width="3.7109375" style="217" customWidth="1"/>
    <col min="145" max="145" width="3.7109375" style="219" customWidth="1"/>
    <col min="146" max="160" width="3.7109375" style="217" customWidth="1"/>
    <col min="161" max="161" width="3.7109375" style="219" customWidth="1"/>
    <col min="162" max="176" width="3.7109375" style="217" customWidth="1"/>
    <col min="177" max="177" width="3.7109375" style="219" customWidth="1"/>
    <col min="178" max="192" width="3.7109375" style="217" customWidth="1"/>
    <col min="193" max="193" width="3.7109375" style="219" customWidth="1"/>
    <col min="194" max="208" width="3.7109375" style="217" customWidth="1"/>
    <col min="209" max="209" width="3.7109375" style="219" customWidth="1"/>
    <col min="210" max="224" width="3.7109375" style="217" customWidth="1"/>
    <col min="225" max="225" width="3.7109375" style="219" customWidth="1"/>
    <col min="226" max="240" width="3.7109375" style="217" customWidth="1"/>
    <col min="241" max="241" width="3.7109375" style="219" customWidth="1"/>
    <col min="242" max="256" width="3.7109375" style="217" customWidth="1"/>
    <col min="257" max="257" width="3.7109375" style="219" customWidth="1"/>
    <col min="258" max="16384" width="3.7109375" style="217"/>
  </cols>
  <sheetData>
    <row r="1" spans="1:257" s="152" customFormat="1" ht="20" hidden="1" customHeight="1" x14ac:dyDescent="0.15">
      <c r="B1" s="153">
        <v>0</v>
      </c>
      <c r="C1" s="153">
        <v>1</v>
      </c>
      <c r="D1" s="153">
        <v>2</v>
      </c>
      <c r="E1" s="153">
        <v>3</v>
      </c>
      <c r="F1" s="153">
        <v>4</v>
      </c>
      <c r="G1" s="153">
        <v>5</v>
      </c>
      <c r="H1" s="153">
        <v>6</v>
      </c>
      <c r="I1" s="153">
        <v>7</v>
      </c>
      <c r="J1" s="153">
        <v>8</v>
      </c>
      <c r="K1" s="153">
        <v>9</v>
      </c>
      <c r="L1" s="153">
        <v>10</v>
      </c>
      <c r="M1" s="153">
        <v>11</v>
      </c>
      <c r="N1" s="153">
        <v>12</v>
      </c>
      <c r="O1" s="153">
        <v>13</v>
      </c>
      <c r="P1" s="153">
        <v>14</v>
      </c>
      <c r="Q1" s="154">
        <v>15</v>
      </c>
      <c r="R1" s="153">
        <v>0</v>
      </c>
      <c r="S1" s="153">
        <v>1</v>
      </c>
      <c r="T1" s="153">
        <v>2</v>
      </c>
      <c r="U1" s="153">
        <v>3</v>
      </c>
      <c r="V1" s="153">
        <v>4</v>
      </c>
      <c r="W1" s="153">
        <v>5</v>
      </c>
      <c r="X1" s="153">
        <v>6</v>
      </c>
      <c r="Y1" s="153">
        <v>7</v>
      </c>
      <c r="Z1" s="153">
        <v>8</v>
      </c>
      <c r="AA1" s="153">
        <v>9</v>
      </c>
      <c r="AB1" s="153">
        <v>10</v>
      </c>
      <c r="AC1" s="153">
        <v>11</v>
      </c>
      <c r="AD1" s="153">
        <v>12</v>
      </c>
      <c r="AE1" s="153">
        <v>13</v>
      </c>
      <c r="AF1" s="153">
        <v>14</v>
      </c>
      <c r="AG1" s="154">
        <v>15</v>
      </c>
      <c r="AH1" s="155" t="s">
        <v>93</v>
      </c>
      <c r="AI1" s="155">
        <v>1</v>
      </c>
      <c r="AJ1" s="155">
        <v>2</v>
      </c>
      <c r="AK1" s="155">
        <v>3</v>
      </c>
      <c r="AL1" s="155">
        <v>4</v>
      </c>
      <c r="AM1" s="155">
        <v>5</v>
      </c>
      <c r="AN1" s="155">
        <v>6</v>
      </c>
      <c r="AO1" s="155">
        <v>7</v>
      </c>
      <c r="AP1" s="155">
        <v>8</v>
      </c>
      <c r="AQ1" s="155">
        <v>9</v>
      </c>
      <c r="AR1" s="155">
        <v>10</v>
      </c>
      <c r="AS1" s="155">
        <v>11</v>
      </c>
      <c r="AT1" s="155">
        <v>12</v>
      </c>
      <c r="AU1" s="155">
        <v>13</v>
      </c>
      <c r="AV1" s="155">
        <v>14</v>
      </c>
      <c r="AW1" s="155">
        <v>15</v>
      </c>
      <c r="AX1" s="156" t="s">
        <v>93</v>
      </c>
      <c r="AY1" s="155">
        <v>1</v>
      </c>
      <c r="AZ1" s="155">
        <v>2</v>
      </c>
      <c r="BA1" s="155">
        <v>3</v>
      </c>
      <c r="BB1" s="155">
        <v>4</v>
      </c>
      <c r="BC1" s="155">
        <v>5</v>
      </c>
      <c r="BD1" s="155">
        <v>6</v>
      </c>
      <c r="BE1" s="155">
        <v>7</v>
      </c>
      <c r="BF1" s="155">
        <v>8</v>
      </c>
      <c r="BG1" s="155">
        <v>9</v>
      </c>
      <c r="BH1" s="155">
        <v>10</v>
      </c>
      <c r="BI1" s="155">
        <v>11</v>
      </c>
      <c r="BJ1" s="155">
        <v>12</v>
      </c>
      <c r="BK1" s="155">
        <v>13</v>
      </c>
      <c r="BL1" s="155">
        <v>14</v>
      </c>
      <c r="BM1" s="157">
        <v>15</v>
      </c>
      <c r="BN1" s="153">
        <v>0</v>
      </c>
      <c r="BO1" s="153">
        <v>1</v>
      </c>
      <c r="BP1" s="153">
        <v>2</v>
      </c>
      <c r="BQ1" s="153">
        <v>3</v>
      </c>
      <c r="BR1" s="153">
        <v>4</v>
      </c>
      <c r="BS1" s="153">
        <v>5</v>
      </c>
      <c r="BT1" s="153">
        <v>6</v>
      </c>
      <c r="BU1" s="153">
        <v>7</v>
      </c>
      <c r="BV1" s="153">
        <v>8</v>
      </c>
      <c r="BW1" s="153">
        <v>9</v>
      </c>
      <c r="BX1" s="153">
        <v>10</v>
      </c>
      <c r="BY1" s="153">
        <v>11</v>
      </c>
      <c r="BZ1" s="153">
        <v>12</v>
      </c>
      <c r="CA1" s="153">
        <v>13</v>
      </c>
      <c r="CB1" s="153">
        <v>14</v>
      </c>
      <c r="CC1" s="154">
        <v>15</v>
      </c>
      <c r="CD1" s="153">
        <v>0</v>
      </c>
      <c r="CE1" s="153">
        <v>1</v>
      </c>
      <c r="CF1" s="153">
        <v>2</v>
      </c>
      <c r="CG1" s="153">
        <v>3</v>
      </c>
      <c r="CH1" s="153">
        <v>4</v>
      </c>
      <c r="CI1" s="153">
        <v>5</v>
      </c>
      <c r="CJ1" s="153">
        <v>6</v>
      </c>
      <c r="CK1" s="153">
        <v>7</v>
      </c>
      <c r="CL1" s="153">
        <v>8</v>
      </c>
      <c r="CM1" s="153">
        <v>9</v>
      </c>
      <c r="CN1" s="153">
        <v>10</v>
      </c>
      <c r="CO1" s="153">
        <v>11</v>
      </c>
      <c r="CP1" s="153">
        <v>12</v>
      </c>
      <c r="CQ1" s="153">
        <v>13</v>
      </c>
      <c r="CR1" s="153">
        <v>14</v>
      </c>
      <c r="CS1" s="154">
        <v>15</v>
      </c>
      <c r="CT1" s="153">
        <v>0</v>
      </c>
      <c r="CU1" s="153">
        <v>1</v>
      </c>
      <c r="CV1" s="153">
        <v>2</v>
      </c>
      <c r="CW1" s="153">
        <v>3</v>
      </c>
      <c r="CX1" s="153">
        <v>4</v>
      </c>
      <c r="CY1" s="153">
        <v>5</v>
      </c>
      <c r="CZ1" s="153">
        <v>6</v>
      </c>
      <c r="DA1" s="153">
        <v>7</v>
      </c>
      <c r="DB1" s="153">
        <v>8</v>
      </c>
      <c r="DC1" s="153">
        <v>9</v>
      </c>
      <c r="DD1" s="153">
        <v>10</v>
      </c>
      <c r="DE1" s="153">
        <v>11</v>
      </c>
      <c r="DF1" s="153">
        <v>12</v>
      </c>
      <c r="DG1" s="153">
        <v>13</v>
      </c>
      <c r="DH1" s="153">
        <v>14</v>
      </c>
      <c r="DI1" s="154">
        <v>15</v>
      </c>
      <c r="DJ1" s="153">
        <v>0</v>
      </c>
      <c r="DK1" s="153">
        <v>1</v>
      </c>
      <c r="DL1" s="153">
        <v>2</v>
      </c>
      <c r="DM1" s="153">
        <v>3</v>
      </c>
      <c r="DN1" s="153">
        <v>4</v>
      </c>
      <c r="DO1" s="153">
        <v>5</v>
      </c>
      <c r="DP1" s="153">
        <v>6</v>
      </c>
      <c r="DQ1" s="153">
        <v>7</v>
      </c>
      <c r="DR1" s="153">
        <v>8</v>
      </c>
      <c r="DS1" s="153">
        <v>9</v>
      </c>
      <c r="DT1" s="153">
        <v>10</v>
      </c>
      <c r="DU1" s="153">
        <v>11</v>
      </c>
      <c r="DV1" s="153">
        <v>12</v>
      </c>
      <c r="DW1" s="153">
        <v>13</v>
      </c>
      <c r="DX1" s="153">
        <v>14</v>
      </c>
      <c r="DY1" s="153">
        <v>15</v>
      </c>
      <c r="DZ1" s="153">
        <v>0</v>
      </c>
      <c r="EA1" s="153">
        <v>1</v>
      </c>
      <c r="EB1" s="153">
        <v>2</v>
      </c>
      <c r="EC1" s="153">
        <v>3</v>
      </c>
      <c r="ED1" s="153">
        <v>4</v>
      </c>
      <c r="EE1" s="153">
        <v>5</v>
      </c>
      <c r="EF1" s="153">
        <v>6</v>
      </c>
      <c r="EG1" s="153">
        <v>7</v>
      </c>
      <c r="EH1" s="153">
        <v>8</v>
      </c>
      <c r="EI1" s="153">
        <v>9</v>
      </c>
      <c r="EJ1" s="153">
        <v>10</v>
      </c>
      <c r="EK1" s="153">
        <v>11</v>
      </c>
      <c r="EL1" s="153">
        <v>12</v>
      </c>
      <c r="EM1" s="153">
        <v>13</v>
      </c>
      <c r="EN1" s="153">
        <v>14</v>
      </c>
      <c r="EO1" s="153">
        <v>15</v>
      </c>
      <c r="EP1" s="153">
        <v>0</v>
      </c>
      <c r="EQ1" s="153">
        <v>1</v>
      </c>
      <c r="ER1" s="153">
        <v>2</v>
      </c>
      <c r="ES1" s="153">
        <v>3</v>
      </c>
      <c r="ET1" s="153">
        <v>4</v>
      </c>
      <c r="EU1" s="153">
        <v>5</v>
      </c>
      <c r="EV1" s="153">
        <v>6</v>
      </c>
      <c r="EW1" s="153">
        <v>7</v>
      </c>
      <c r="EX1" s="153">
        <v>8</v>
      </c>
      <c r="EY1" s="153">
        <v>9</v>
      </c>
      <c r="EZ1" s="153">
        <v>10</v>
      </c>
      <c r="FA1" s="153">
        <v>11</v>
      </c>
      <c r="FB1" s="153">
        <v>12</v>
      </c>
      <c r="FC1" s="153">
        <v>13</v>
      </c>
      <c r="FD1" s="153">
        <v>14</v>
      </c>
      <c r="FE1" s="153">
        <v>15</v>
      </c>
      <c r="FF1" s="153">
        <v>0</v>
      </c>
      <c r="FG1" s="153">
        <v>1</v>
      </c>
      <c r="FH1" s="153">
        <v>2</v>
      </c>
      <c r="FI1" s="153">
        <v>3</v>
      </c>
      <c r="FJ1" s="153">
        <v>4</v>
      </c>
      <c r="FK1" s="153">
        <v>5</v>
      </c>
      <c r="FL1" s="153">
        <v>6</v>
      </c>
      <c r="FM1" s="153">
        <v>7</v>
      </c>
      <c r="FN1" s="153">
        <v>8</v>
      </c>
      <c r="FO1" s="153">
        <v>9</v>
      </c>
      <c r="FP1" s="153">
        <v>10</v>
      </c>
      <c r="FQ1" s="153">
        <v>11</v>
      </c>
      <c r="FR1" s="153">
        <v>12</v>
      </c>
      <c r="FS1" s="153">
        <v>13</v>
      </c>
      <c r="FT1" s="153">
        <v>14</v>
      </c>
      <c r="FU1" s="153">
        <v>15</v>
      </c>
      <c r="FV1" s="153">
        <v>0</v>
      </c>
      <c r="FW1" s="153">
        <v>1</v>
      </c>
      <c r="FX1" s="153">
        <v>2</v>
      </c>
      <c r="FY1" s="153">
        <v>3</v>
      </c>
      <c r="FZ1" s="153">
        <v>4</v>
      </c>
      <c r="GA1" s="153">
        <v>5</v>
      </c>
      <c r="GB1" s="153">
        <v>6</v>
      </c>
      <c r="GC1" s="153">
        <v>7</v>
      </c>
      <c r="GD1" s="153">
        <v>8</v>
      </c>
      <c r="GE1" s="153">
        <v>9</v>
      </c>
      <c r="GF1" s="153">
        <v>10</v>
      </c>
      <c r="GG1" s="153">
        <v>11</v>
      </c>
      <c r="GH1" s="153">
        <v>12</v>
      </c>
      <c r="GI1" s="153">
        <v>13</v>
      </c>
      <c r="GJ1" s="153">
        <v>14</v>
      </c>
      <c r="GK1" s="153">
        <v>15</v>
      </c>
      <c r="GL1" s="153">
        <v>0</v>
      </c>
      <c r="GM1" s="153">
        <v>1</v>
      </c>
      <c r="GN1" s="153">
        <v>2</v>
      </c>
      <c r="GO1" s="153">
        <v>3</v>
      </c>
      <c r="GP1" s="153">
        <v>4</v>
      </c>
      <c r="GQ1" s="153">
        <v>5</v>
      </c>
      <c r="GR1" s="153">
        <v>6</v>
      </c>
      <c r="GS1" s="153">
        <v>7</v>
      </c>
      <c r="GT1" s="153">
        <v>8</v>
      </c>
      <c r="GU1" s="153">
        <v>9</v>
      </c>
      <c r="GV1" s="153">
        <v>10</v>
      </c>
      <c r="GW1" s="153">
        <v>11</v>
      </c>
      <c r="GX1" s="153">
        <v>12</v>
      </c>
      <c r="GY1" s="153">
        <v>13</v>
      </c>
      <c r="GZ1" s="153">
        <v>14</v>
      </c>
      <c r="HA1" s="153">
        <v>15</v>
      </c>
      <c r="HB1" s="153">
        <v>0</v>
      </c>
      <c r="HC1" s="153">
        <v>1</v>
      </c>
      <c r="HD1" s="153">
        <v>2</v>
      </c>
      <c r="HE1" s="153">
        <v>3</v>
      </c>
      <c r="HF1" s="153">
        <v>4</v>
      </c>
      <c r="HG1" s="153">
        <v>5</v>
      </c>
      <c r="HH1" s="153">
        <v>6</v>
      </c>
      <c r="HI1" s="153">
        <v>7</v>
      </c>
      <c r="HJ1" s="153">
        <v>8</v>
      </c>
      <c r="HK1" s="153">
        <v>9</v>
      </c>
      <c r="HL1" s="153">
        <v>10</v>
      </c>
      <c r="HM1" s="153">
        <v>11</v>
      </c>
      <c r="HN1" s="153">
        <v>12</v>
      </c>
      <c r="HO1" s="153">
        <v>13</v>
      </c>
      <c r="HP1" s="153">
        <v>14</v>
      </c>
      <c r="HQ1" s="153">
        <v>15</v>
      </c>
      <c r="HR1" s="153">
        <v>0</v>
      </c>
      <c r="HS1" s="153">
        <v>1</v>
      </c>
      <c r="HT1" s="153">
        <v>2</v>
      </c>
      <c r="HU1" s="153">
        <v>3</v>
      </c>
      <c r="HV1" s="153">
        <v>4</v>
      </c>
      <c r="HW1" s="153">
        <v>5</v>
      </c>
      <c r="HX1" s="153">
        <v>6</v>
      </c>
      <c r="HY1" s="153">
        <v>7</v>
      </c>
      <c r="HZ1" s="153">
        <v>8</v>
      </c>
      <c r="IA1" s="153">
        <v>9</v>
      </c>
      <c r="IB1" s="153">
        <v>10</v>
      </c>
      <c r="IC1" s="153">
        <v>11</v>
      </c>
      <c r="ID1" s="153">
        <v>12</v>
      </c>
      <c r="IE1" s="153">
        <v>13</v>
      </c>
      <c r="IF1" s="153">
        <v>14</v>
      </c>
      <c r="IG1" s="153">
        <v>15</v>
      </c>
      <c r="IH1" s="155" t="s">
        <v>93</v>
      </c>
      <c r="II1" s="155">
        <v>1</v>
      </c>
      <c r="IJ1" s="155">
        <v>2</v>
      </c>
      <c r="IK1" s="155">
        <v>3</v>
      </c>
      <c r="IL1" s="155">
        <v>4</v>
      </c>
      <c r="IM1" s="155">
        <v>5</v>
      </c>
      <c r="IN1" s="155">
        <v>6</v>
      </c>
      <c r="IO1" s="155">
        <v>7</v>
      </c>
      <c r="IP1" s="155">
        <v>8</v>
      </c>
      <c r="IQ1" s="155">
        <v>9</v>
      </c>
      <c r="IR1" s="155">
        <v>10</v>
      </c>
      <c r="IS1" s="155">
        <v>11</v>
      </c>
      <c r="IT1" s="155">
        <v>12</v>
      </c>
      <c r="IU1" s="155">
        <v>13</v>
      </c>
      <c r="IV1" s="155">
        <v>14</v>
      </c>
      <c r="IW1" s="155">
        <v>15</v>
      </c>
    </row>
    <row r="2" spans="1:257" s="152" customFormat="1" ht="20" hidden="1" customHeight="1" x14ac:dyDescent="0.15">
      <c r="A2" s="153">
        <v>0</v>
      </c>
      <c r="B2" s="158">
        <v>7</v>
      </c>
      <c r="C2" s="158">
        <v>8</v>
      </c>
      <c r="D2" s="159">
        <v>0</v>
      </c>
      <c r="E2" s="159">
        <v>0</v>
      </c>
      <c r="F2" s="158">
        <v>7</v>
      </c>
      <c r="G2" s="158">
        <v>8</v>
      </c>
      <c r="H2" s="159">
        <v>0</v>
      </c>
      <c r="I2" s="158">
        <v>7</v>
      </c>
      <c r="J2" s="158">
        <v>8</v>
      </c>
      <c r="K2" s="159">
        <v>0</v>
      </c>
      <c r="L2" s="158">
        <v>7</v>
      </c>
      <c r="M2" s="158">
        <v>8</v>
      </c>
      <c r="N2" s="159">
        <v>0</v>
      </c>
      <c r="O2" s="159">
        <v>0</v>
      </c>
      <c r="P2" s="159">
        <v>0</v>
      </c>
      <c r="Q2" s="160">
        <v>0</v>
      </c>
      <c r="R2" s="159">
        <v>0</v>
      </c>
      <c r="S2" s="158">
        <v>7</v>
      </c>
      <c r="T2" s="158">
        <v>8</v>
      </c>
      <c r="U2" s="159">
        <v>0</v>
      </c>
      <c r="V2" s="158">
        <v>7</v>
      </c>
      <c r="W2" s="158">
        <v>8</v>
      </c>
      <c r="X2" s="161">
        <v>81</v>
      </c>
      <c r="Y2" s="161">
        <v>82</v>
      </c>
      <c r="Z2" s="161">
        <v>82</v>
      </c>
      <c r="AA2" s="161">
        <v>82</v>
      </c>
      <c r="AB2" s="161">
        <v>82</v>
      </c>
      <c r="AC2" s="161">
        <v>82</v>
      </c>
      <c r="AD2" s="161">
        <v>82</v>
      </c>
      <c r="AE2" s="161">
        <v>82</v>
      </c>
      <c r="AF2" s="161">
        <v>82</v>
      </c>
      <c r="AG2" s="162">
        <v>82</v>
      </c>
      <c r="AH2" s="161">
        <v>81</v>
      </c>
      <c r="AI2" s="161">
        <v>82</v>
      </c>
      <c r="AJ2" s="161">
        <v>82</v>
      </c>
      <c r="AK2" s="161">
        <v>82</v>
      </c>
      <c r="AL2" s="161">
        <v>82</v>
      </c>
      <c r="AM2" s="161">
        <v>82</v>
      </c>
      <c r="AN2" s="161">
        <v>82</v>
      </c>
      <c r="AO2" s="161">
        <v>83</v>
      </c>
      <c r="AP2" s="159">
        <v>0</v>
      </c>
      <c r="AQ2" s="159">
        <v>0</v>
      </c>
      <c r="AR2" s="159">
        <v>0</v>
      </c>
      <c r="AS2" s="163">
        <v>40</v>
      </c>
      <c r="AT2" s="159">
        <v>35</v>
      </c>
      <c r="AU2" s="159">
        <v>0</v>
      </c>
      <c r="AV2" s="163">
        <v>40</v>
      </c>
      <c r="AW2" s="159">
        <v>35</v>
      </c>
      <c r="AX2" s="164">
        <v>0</v>
      </c>
      <c r="AY2" s="163">
        <v>40</v>
      </c>
      <c r="AZ2" s="159">
        <v>35</v>
      </c>
      <c r="BA2" s="159">
        <v>0</v>
      </c>
      <c r="BB2" s="159">
        <v>35</v>
      </c>
      <c r="BC2" s="159">
        <v>0</v>
      </c>
      <c r="BD2" s="159">
        <v>0</v>
      </c>
      <c r="BE2" s="159">
        <v>0</v>
      </c>
      <c r="BF2" s="159">
        <v>0</v>
      </c>
      <c r="BG2" s="159">
        <v>0</v>
      </c>
      <c r="BH2" s="159">
        <v>0</v>
      </c>
      <c r="BI2" s="159">
        <v>35</v>
      </c>
      <c r="BJ2" s="159">
        <v>0</v>
      </c>
      <c r="BK2" s="159">
        <v>35</v>
      </c>
      <c r="BL2" s="163">
        <v>40</v>
      </c>
      <c r="BM2" s="160">
        <v>0</v>
      </c>
      <c r="BN2" s="159">
        <v>35</v>
      </c>
      <c r="BO2" s="159">
        <v>0</v>
      </c>
      <c r="BP2" s="163">
        <v>40</v>
      </c>
      <c r="BQ2" s="159">
        <v>0</v>
      </c>
      <c r="BR2" s="159">
        <v>0</v>
      </c>
      <c r="BS2" s="159">
        <v>0</v>
      </c>
      <c r="BT2" s="159">
        <v>0</v>
      </c>
      <c r="BU2" s="159">
        <v>0</v>
      </c>
      <c r="BV2" s="57">
        <v>52</v>
      </c>
      <c r="BW2" s="151">
        <v>85</v>
      </c>
      <c r="BX2" s="151">
        <v>85</v>
      </c>
      <c r="BY2" s="151">
        <v>85</v>
      </c>
      <c r="BZ2" s="151">
        <v>85</v>
      </c>
      <c r="CA2" s="151">
        <v>85</v>
      </c>
      <c r="CB2" s="151">
        <v>85</v>
      </c>
      <c r="CC2" s="151">
        <v>85</v>
      </c>
      <c r="CD2" s="151">
        <v>85</v>
      </c>
      <c r="CE2" s="151">
        <v>85</v>
      </c>
      <c r="CF2" s="151">
        <v>85</v>
      </c>
      <c r="CG2" s="151">
        <v>85</v>
      </c>
      <c r="CH2" s="151">
        <v>85</v>
      </c>
      <c r="CI2" s="151">
        <v>85</v>
      </c>
      <c r="CJ2" s="151">
        <v>85</v>
      </c>
      <c r="CK2" s="151">
        <v>85</v>
      </c>
      <c r="CL2" s="151">
        <v>85</v>
      </c>
      <c r="CM2" s="151">
        <v>85</v>
      </c>
      <c r="CN2" s="57">
        <v>52</v>
      </c>
      <c r="CO2" s="159">
        <v>0</v>
      </c>
      <c r="CP2" s="159">
        <v>0</v>
      </c>
      <c r="CQ2" s="159">
        <v>0</v>
      </c>
      <c r="CR2" s="159">
        <v>0</v>
      </c>
      <c r="CS2" s="160">
        <v>0</v>
      </c>
      <c r="CT2" s="159">
        <v>0</v>
      </c>
      <c r="CU2" s="159">
        <v>0</v>
      </c>
      <c r="CV2" s="159">
        <v>0</v>
      </c>
      <c r="CW2" s="159">
        <v>0</v>
      </c>
      <c r="CX2" s="159">
        <v>0</v>
      </c>
      <c r="CY2" s="159">
        <v>0</v>
      </c>
      <c r="CZ2" s="159">
        <v>0</v>
      </c>
      <c r="DA2" s="159">
        <v>0</v>
      </c>
      <c r="DB2" s="159">
        <v>0</v>
      </c>
      <c r="DC2" s="159">
        <v>0</v>
      </c>
      <c r="DD2" s="159">
        <v>0</v>
      </c>
      <c r="DE2" s="165">
        <v>56</v>
      </c>
      <c r="DF2" s="165">
        <v>55</v>
      </c>
      <c r="DG2" s="165">
        <v>55</v>
      </c>
      <c r="DH2" s="165">
        <v>56</v>
      </c>
      <c r="DI2" s="160">
        <v>0</v>
      </c>
      <c r="DJ2" s="159">
        <v>0</v>
      </c>
      <c r="DK2" s="159">
        <v>0</v>
      </c>
      <c r="DL2" s="159">
        <v>0</v>
      </c>
      <c r="DM2" s="159">
        <v>0</v>
      </c>
      <c r="DN2" s="159">
        <v>0</v>
      </c>
      <c r="DO2" s="159">
        <v>0</v>
      </c>
      <c r="DP2" s="159">
        <v>0</v>
      </c>
      <c r="DQ2" s="159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9">
        <v>0</v>
      </c>
      <c r="DZ2" s="161">
        <v>78</v>
      </c>
      <c r="EA2" s="161">
        <v>78</v>
      </c>
      <c r="EB2" s="161">
        <v>78</v>
      </c>
      <c r="EC2" s="161">
        <v>78</v>
      </c>
      <c r="ED2" s="161">
        <v>78</v>
      </c>
      <c r="EE2" s="161">
        <v>78</v>
      </c>
      <c r="EF2" s="161">
        <v>78</v>
      </c>
      <c r="EG2" s="161">
        <v>78</v>
      </c>
      <c r="EH2" s="161">
        <v>78</v>
      </c>
      <c r="EI2" s="161">
        <v>78</v>
      </c>
      <c r="EJ2" s="161">
        <v>78</v>
      </c>
      <c r="EK2" s="161">
        <v>78</v>
      </c>
      <c r="EL2" s="161">
        <v>78</v>
      </c>
      <c r="EM2" s="161">
        <v>78</v>
      </c>
      <c r="EN2" s="161">
        <v>78</v>
      </c>
      <c r="EO2" s="162">
        <v>78</v>
      </c>
      <c r="EP2" s="161">
        <v>78</v>
      </c>
      <c r="EQ2" s="161">
        <v>78</v>
      </c>
      <c r="ER2" s="166">
        <v>69</v>
      </c>
      <c r="ES2" s="161">
        <v>78</v>
      </c>
      <c r="ET2" s="161">
        <v>78</v>
      </c>
      <c r="EU2" s="161">
        <v>78</v>
      </c>
      <c r="EV2" s="161">
        <v>78</v>
      </c>
      <c r="EW2" s="161">
        <v>78</v>
      </c>
      <c r="EX2" s="161">
        <v>78</v>
      </c>
      <c r="EY2" s="161">
        <v>78</v>
      </c>
      <c r="EZ2" s="161">
        <v>78</v>
      </c>
      <c r="FA2" s="161">
        <v>78</v>
      </c>
      <c r="FB2" s="161">
        <v>78</v>
      </c>
      <c r="FC2" s="166">
        <v>69</v>
      </c>
      <c r="FD2" s="161">
        <v>78</v>
      </c>
      <c r="FE2" s="162">
        <v>78</v>
      </c>
      <c r="FF2" s="151">
        <v>85</v>
      </c>
      <c r="FG2" s="151">
        <v>85</v>
      </c>
      <c r="FH2" s="166">
        <v>69</v>
      </c>
      <c r="FI2" s="151">
        <v>85</v>
      </c>
      <c r="FJ2" s="151">
        <v>85</v>
      </c>
      <c r="FK2" s="151">
        <v>85</v>
      </c>
      <c r="FL2" s="151">
        <v>85</v>
      </c>
      <c r="FM2" s="151">
        <v>85</v>
      </c>
      <c r="FN2" s="151">
        <v>85</v>
      </c>
      <c r="FO2" s="151">
        <v>85</v>
      </c>
      <c r="FP2" s="151">
        <v>85</v>
      </c>
      <c r="FQ2" s="151">
        <v>85</v>
      </c>
      <c r="FR2" s="151">
        <v>85</v>
      </c>
      <c r="FS2" s="151">
        <v>85</v>
      </c>
      <c r="FT2" s="151">
        <v>85</v>
      </c>
      <c r="FU2" s="151">
        <v>85</v>
      </c>
      <c r="FV2" s="151">
        <v>85</v>
      </c>
      <c r="FW2" s="151">
        <v>85</v>
      </c>
      <c r="FX2" s="151">
        <v>85</v>
      </c>
      <c r="FY2" s="151">
        <v>85</v>
      </c>
      <c r="FZ2" s="151">
        <v>85</v>
      </c>
      <c r="GA2" s="151">
        <v>85</v>
      </c>
      <c r="GB2" s="151">
        <v>85</v>
      </c>
      <c r="GC2" s="151">
        <v>85</v>
      </c>
      <c r="GD2" s="151">
        <v>85</v>
      </c>
      <c r="GE2" s="151">
        <v>85</v>
      </c>
      <c r="GF2" s="151">
        <v>85</v>
      </c>
      <c r="GG2" s="151">
        <v>85</v>
      </c>
      <c r="GH2" s="151">
        <v>85</v>
      </c>
      <c r="GI2" s="151">
        <v>85</v>
      </c>
      <c r="GJ2" s="151">
        <v>85</v>
      </c>
      <c r="GK2" s="151">
        <v>85</v>
      </c>
      <c r="GL2" s="151">
        <v>85</v>
      </c>
      <c r="GM2" s="151">
        <v>85</v>
      </c>
      <c r="GN2" s="151">
        <v>85</v>
      </c>
      <c r="GO2" s="151">
        <v>85</v>
      </c>
      <c r="GP2" s="151">
        <v>85</v>
      </c>
      <c r="GQ2" s="151">
        <v>85</v>
      </c>
      <c r="GR2" s="166">
        <v>69</v>
      </c>
      <c r="GS2" s="166">
        <v>69</v>
      </c>
      <c r="GT2" s="151">
        <v>85</v>
      </c>
      <c r="GU2" s="151">
        <v>85</v>
      </c>
      <c r="GV2" s="151">
        <v>85</v>
      </c>
      <c r="GW2" s="151">
        <v>85</v>
      </c>
      <c r="GX2" s="151">
        <v>85</v>
      </c>
      <c r="GY2" s="151">
        <v>85</v>
      </c>
      <c r="GZ2" s="151">
        <v>85</v>
      </c>
      <c r="HA2" s="151">
        <v>85</v>
      </c>
      <c r="HB2" s="151">
        <v>85</v>
      </c>
      <c r="HC2" s="243">
        <v>69</v>
      </c>
      <c r="HD2" s="242">
        <v>87</v>
      </c>
      <c r="HE2" s="151">
        <v>85</v>
      </c>
      <c r="HF2" s="151">
        <v>85</v>
      </c>
      <c r="HG2" s="151">
        <v>85</v>
      </c>
      <c r="HH2" s="151">
        <v>85</v>
      </c>
      <c r="HI2" s="151">
        <v>85</v>
      </c>
      <c r="HJ2" s="151">
        <v>85</v>
      </c>
      <c r="HK2" s="151">
        <v>85</v>
      </c>
      <c r="HL2" s="151">
        <v>85</v>
      </c>
      <c r="HM2" s="151">
        <v>85</v>
      </c>
      <c r="HN2" s="151">
        <v>85</v>
      </c>
      <c r="HO2" s="151">
        <v>85</v>
      </c>
      <c r="HP2" s="151">
        <v>85</v>
      </c>
      <c r="HQ2" s="151">
        <v>85</v>
      </c>
      <c r="HR2" s="242">
        <v>85</v>
      </c>
      <c r="HS2" s="151">
        <v>85</v>
      </c>
      <c r="HT2" s="151">
        <v>85</v>
      </c>
      <c r="HU2" s="151">
        <v>85</v>
      </c>
      <c r="HV2" s="151">
        <v>85</v>
      </c>
      <c r="HW2" s="151">
        <v>85</v>
      </c>
      <c r="HX2" s="151">
        <v>85</v>
      </c>
      <c r="HY2" s="151">
        <v>85</v>
      </c>
      <c r="HZ2" s="151">
        <v>85</v>
      </c>
      <c r="IA2" s="151">
        <v>85</v>
      </c>
      <c r="IB2" s="151">
        <v>85</v>
      </c>
      <c r="IC2" s="151">
        <v>85</v>
      </c>
      <c r="ID2" s="151">
        <v>85</v>
      </c>
      <c r="IE2" s="151">
        <v>85</v>
      </c>
      <c r="IF2" s="151">
        <v>85</v>
      </c>
      <c r="IG2" s="151">
        <v>85</v>
      </c>
      <c r="IH2" s="242">
        <v>85</v>
      </c>
      <c r="II2" s="151">
        <v>85</v>
      </c>
      <c r="IJ2" s="151">
        <v>85</v>
      </c>
      <c r="IK2" s="151">
        <v>85</v>
      </c>
      <c r="IL2" s="151">
        <v>85</v>
      </c>
      <c r="IM2" s="151">
        <v>85</v>
      </c>
      <c r="IN2" s="151">
        <v>85</v>
      </c>
      <c r="IO2" s="151">
        <v>85</v>
      </c>
      <c r="IP2" s="151">
        <v>85</v>
      </c>
      <c r="IQ2" s="151">
        <v>85</v>
      </c>
      <c r="IR2" s="151">
        <v>85</v>
      </c>
      <c r="IS2" s="151">
        <v>85</v>
      </c>
      <c r="IT2" s="151">
        <v>85</v>
      </c>
      <c r="IU2" s="151">
        <v>85</v>
      </c>
      <c r="IV2" s="151">
        <v>85</v>
      </c>
      <c r="IW2" s="151">
        <v>85</v>
      </c>
    </row>
    <row r="3" spans="1:257" s="152" customFormat="1" ht="20" hidden="1" customHeight="1" x14ac:dyDescent="0.15">
      <c r="A3" s="153">
        <v>1</v>
      </c>
      <c r="B3" s="158">
        <v>9</v>
      </c>
      <c r="C3" s="158">
        <v>10</v>
      </c>
      <c r="D3" s="158">
        <v>7</v>
      </c>
      <c r="E3" s="158">
        <v>8</v>
      </c>
      <c r="F3" s="158">
        <v>9</v>
      </c>
      <c r="G3" s="158">
        <v>10</v>
      </c>
      <c r="H3" s="7">
        <v>116</v>
      </c>
      <c r="I3" s="158">
        <v>9</v>
      </c>
      <c r="J3" s="158">
        <v>10</v>
      </c>
      <c r="K3" s="159">
        <v>0</v>
      </c>
      <c r="L3" s="158">
        <v>9</v>
      </c>
      <c r="M3" s="158">
        <v>10</v>
      </c>
      <c r="N3" s="158">
        <v>7</v>
      </c>
      <c r="O3" s="158">
        <v>8</v>
      </c>
      <c r="P3" s="159">
        <v>0</v>
      </c>
      <c r="Q3" s="160">
        <v>0</v>
      </c>
      <c r="R3" s="159">
        <v>0</v>
      </c>
      <c r="S3" s="158">
        <v>9</v>
      </c>
      <c r="T3" s="158">
        <v>10</v>
      </c>
      <c r="U3" s="159">
        <v>0</v>
      </c>
      <c r="V3" s="158">
        <v>9</v>
      </c>
      <c r="W3" s="158">
        <v>10</v>
      </c>
      <c r="X3" s="159">
        <v>0</v>
      </c>
      <c r="Y3" s="167">
        <v>24</v>
      </c>
      <c r="Z3" s="167">
        <v>24</v>
      </c>
      <c r="AA3" s="167">
        <v>24</v>
      </c>
      <c r="AB3" s="168">
        <v>110</v>
      </c>
      <c r="AC3" s="167">
        <v>24</v>
      </c>
      <c r="AD3" s="167">
        <v>24</v>
      </c>
      <c r="AE3" s="167">
        <v>24</v>
      </c>
      <c r="AF3" s="161">
        <v>86</v>
      </c>
      <c r="AG3" s="162">
        <v>86</v>
      </c>
      <c r="AH3" s="161">
        <v>86</v>
      </c>
      <c r="AI3" s="161">
        <v>86</v>
      </c>
      <c r="AJ3" s="161">
        <v>86</v>
      </c>
      <c r="AK3" s="161">
        <v>86</v>
      </c>
      <c r="AL3" s="161">
        <v>86</v>
      </c>
      <c r="AM3" s="161">
        <v>86</v>
      </c>
      <c r="AN3" s="161">
        <v>86</v>
      </c>
      <c r="AO3" s="161">
        <v>86</v>
      </c>
      <c r="AP3" s="159">
        <v>0</v>
      </c>
      <c r="AQ3" s="159">
        <v>0</v>
      </c>
      <c r="AR3" s="159">
        <v>0</v>
      </c>
      <c r="AS3" s="159">
        <v>0</v>
      </c>
      <c r="AT3" s="159">
        <v>0</v>
      </c>
      <c r="AU3" s="169">
        <v>40</v>
      </c>
      <c r="AV3" s="159">
        <v>0</v>
      </c>
      <c r="AW3" s="170">
        <v>115</v>
      </c>
      <c r="AX3" s="164">
        <v>0</v>
      </c>
      <c r="AY3" s="159">
        <v>0</v>
      </c>
      <c r="AZ3" s="159">
        <v>0</v>
      </c>
      <c r="BA3" s="169">
        <v>40</v>
      </c>
      <c r="BB3" s="159">
        <v>0</v>
      </c>
      <c r="BC3" s="159">
        <v>0</v>
      </c>
      <c r="BD3" s="159">
        <v>0</v>
      </c>
      <c r="BE3" s="159">
        <v>0</v>
      </c>
      <c r="BF3" s="159">
        <v>0</v>
      </c>
      <c r="BG3" s="159">
        <v>0</v>
      </c>
      <c r="BH3" s="159">
        <v>0</v>
      </c>
      <c r="BI3" s="159">
        <v>0</v>
      </c>
      <c r="BJ3" s="169">
        <v>40</v>
      </c>
      <c r="BK3" s="159">
        <v>0</v>
      </c>
      <c r="BL3" s="159">
        <v>0</v>
      </c>
      <c r="BM3" s="160">
        <v>0</v>
      </c>
      <c r="BN3" s="159">
        <v>0</v>
      </c>
      <c r="BO3" s="159">
        <v>0</v>
      </c>
      <c r="BP3" s="159">
        <v>0</v>
      </c>
      <c r="BQ3" s="159">
        <v>0</v>
      </c>
      <c r="BR3" s="159">
        <v>0</v>
      </c>
      <c r="BS3" s="159">
        <v>0</v>
      </c>
      <c r="BT3" s="159">
        <v>0</v>
      </c>
      <c r="BU3" s="159">
        <v>0</v>
      </c>
      <c r="BV3" s="159">
        <v>0</v>
      </c>
      <c r="BW3" s="167">
        <v>24</v>
      </c>
      <c r="BX3" s="167">
        <v>24</v>
      </c>
      <c r="BY3" s="167">
        <v>24</v>
      </c>
      <c r="BZ3" s="167">
        <v>24</v>
      </c>
      <c r="CA3" s="167">
        <v>24</v>
      </c>
      <c r="CB3" s="9">
        <v>77</v>
      </c>
      <c r="CC3" s="9">
        <v>77</v>
      </c>
      <c r="CD3" s="9">
        <v>77</v>
      </c>
      <c r="CE3" s="9">
        <v>77</v>
      </c>
      <c r="CF3" s="167">
        <v>24</v>
      </c>
      <c r="CG3" s="167">
        <v>24</v>
      </c>
      <c r="CH3" s="167">
        <v>24</v>
      </c>
      <c r="CI3" s="167">
        <v>24</v>
      </c>
      <c r="CJ3" s="167">
        <v>24</v>
      </c>
      <c r="CK3" s="167">
        <v>24</v>
      </c>
      <c r="CL3" s="167">
        <v>24</v>
      </c>
      <c r="CM3" s="167">
        <v>24</v>
      </c>
      <c r="CN3" s="25">
        <v>71</v>
      </c>
      <c r="CO3" s="159">
        <v>0</v>
      </c>
      <c r="CP3" s="159">
        <v>0</v>
      </c>
      <c r="CQ3" s="159">
        <v>0</v>
      </c>
      <c r="CR3" s="159">
        <v>0</v>
      </c>
      <c r="CS3" s="160">
        <v>0</v>
      </c>
      <c r="CT3" s="159">
        <v>0</v>
      </c>
      <c r="CU3" s="159">
        <v>0</v>
      </c>
      <c r="CV3" s="159">
        <v>0</v>
      </c>
      <c r="CW3" s="159">
        <v>0</v>
      </c>
      <c r="CX3" s="159">
        <v>0</v>
      </c>
      <c r="CY3" s="159">
        <v>0</v>
      </c>
      <c r="CZ3" s="159">
        <v>0</v>
      </c>
      <c r="DA3" s="159">
        <v>0</v>
      </c>
      <c r="DB3" s="159">
        <v>0</v>
      </c>
      <c r="DC3" s="159">
        <v>0</v>
      </c>
      <c r="DD3" s="159">
        <v>0</v>
      </c>
      <c r="DE3" s="159">
        <v>0</v>
      </c>
      <c r="DF3" s="172">
        <v>120</v>
      </c>
      <c r="DG3" s="159">
        <v>0</v>
      </c>
      <c r="DH3" s="159">
        <v>0</v>
      </c>
      <c r="DI3" s="160">
        <v>0</v>
      </c>
      <c r="DJ3" s="159">
        <v>0</v>
      </c>
      <c r="DK3" s="159">
        <v>0</v>
      </c>
      <c r="DL3" s="159">
        <v>0</v>
      </c>
      <c r="DM3" s="159">
        <v>0</v>
      </c>
      <c r="DN3" s="159">
        <v>0</v>
      </c>
      <c r="DO3" s="159">
        <v>0</v>
      </c>
      <c r="DP3" s="159">
        <v>0</v>
      </c>
      <c r="DQ3" s="159">
        <v>0</v>
      </c>
      <c r="DR3" s="159">
        <v>0</v>
      </c>
      <c r="DS3" s="55">
        <v>13</v>
      </c>
      <c r="DT3" s="150">
        <v>14</v>
      </c>
      <c r="DU3" s="55">
        <v>13</v>
      </c>
      <c r="DV3" s="150">
        <v>14</v>
      </c>
      <c r="DW3" s="55">
        <v>13</v>
      </c>
      <c r="DX3" s="159">
        <v>0</v>
      </c>
      <c r="DY3" s="159">
        <v>0</v>
      </c>
      <c r="DZ3" s="161">
        <v>78</v>
      </c>
      <c r="EA3" s="173">
        <v>28</v>
      </c>
      <c r="EB3" s="171">
        <v>0</v>
      </c>
      <c r="EC3" s="171">
        <v>0</v>
      </c>
      <c r="ED3" s="171">
        <v>0</v>
      </c>
      <c r="EE3" s="174">
        <v>35</v>
      </c>
      <c r="EF3" s="171">
        <v>0</v>
      </c>
      <c r="EG3" s="171">
        <v>0</v>
      </c>
      <c r="EH3" s="171">
        <v>0</v>
      </c>
      <c r="EI3" s="171">
        <v>0</v>
      </c>
      <c r="EJ3" s="174">
        <v>35</v>
      </c>
      <c r="EK3" s="171">
        <v>0</v>
      </c>
      <c r="EL3" s="171">
        <v>0</v>
      </c>
      <c r="EM3" s="171">
        <v>0</v>
      </c>
      <c r="EN3" s="171">
        <v>0</v>
      </c>
      <c r="EO3" s="175">
        <v>0</v>
      </c>
      <c r="EP3" s="171">
        <v>0</v>
      </c>
      <c r="EQ3" s="171">
        <v>0</v>
      </c>
      <c r="ER3" s="166">
        <v>69</v>
      </c>
      <c r="ES3" s="171">
        <v>0</v>
      </c>
      <c r="ET3" s="171">
        <v>0</v>
      </c>
      <c r="EU3" s="171">
        <v>0</v>
      </c>
      <c r="EV3" s="171">
        <v>0</v>
      </c>
      <c r="EW3" s="171">
        <v>0</v>
      </c>
      <c r="EX3" s="171">
        <v>0</v>
      </c>
      <c r="EY3" s="171">
        <v>0</v>
      </c>
      <c r="EZ3" s="171">
        <v>0</v>
      </c>
      <c r="FA3" s="171">
        <v>0</v>
      </c>
      <c r="FB3" s="176">
        <v>113</v>
      </c>
      <c r="FC3" s="166">
        <v>69</v>
      </c>
      <c r="FD3" s="173">
        <v>27</v>
      </c>
      <c r="FE3" s="162">
        <v>78</v>
      </c>
      <c r="FF3" s="151">
        <v>85</v>
      </c>
      <c r="FG3" s="173">
        <v>28</v>
      </c>
      <c r="FH3" s="166">
        <v>69</v>
      </c>
      <c r="FI3" s="171">
        <v>0</v>
      </c>
      <c r="FJ3" s="57">
        <v>52</v>
      </c>
      <c r="FK3" s="171">
        <v>0</v>
      </c>
      <c r="FL3" s="171">
        <v>0</v>
      </c>
      <c r="FM3" s="57">
        <v>52</v>
      </c>
      <c r="FN3" s="171">
        <v>0</v>
      </c>
      <c r="FO3" s="171">
        <v>0</v>
      </c>
      <c r="FP3" s="57">
        <v>52</v>
      </c>
      <c r="FQ3" s="171">
        <v>0</v>
      </c>
      <c r="FR3" s="171">
        <v>0</v>
      </c>
      <c r="FS3" s="57">
        <v>52</v>
      </c>
      <c r="FT3" s="171">
        <v>0</v>
      </c>
      <c r="FU3" s="171">
        <v>0</v>
      </c>
      <c r="FV3" s="57">
        <v>52</v>
      </c>
      <c r="FW3" s="171">
        <v>0</v>
      </c>
      <c r="FX3" s="171">
        <v>0</v>
      </c>
      <c r="FY3" s="57">
        <v>52</v>
      </c>
      <c r="FZ3" s="53">
        <v>123</v>
      </c>
      <c r="GA3" s="196">
        <v>122</v>
      </c>
      <c r="GB3" s="57">
        <v>52</v>
      </c>
      <c r="GC3" s="171">
        <v>0</v>
      </c>
      <c r="GD3" s="171">
        <v>0</v>
      </c>
      <c r="GE3" s="57">
        <v>52</v>
      </c>
      <c r="GF3" s="171">
        <v>0</v>
      </c>
      <c r="GG3" s="171">
        <v>0</v>
      </c>
      <c r="GH3" s="57">
        <v>52</v>
      </c>
      <c r="GI3" s="171">
        <v>0</v>
      </c>
      <c r="GJ3" s="171">
        <v>0</v>
      </c>
      <c r="GK3" s="57">
        <v>52</v>
      </c>
      <c r="GL3" s="171">
        <v>0</v>
      </c>
      <c r="GM3" s="171">
        <v>0</v>
      </c>
      <c r="GN3" s="171">
        <v>0</v>
      </c>
      <c r="GO3" s="171">
        <v>0</v>
      </c>
      <c r="GP3" s="171">
        <v>0</v>
      </c>
      <c r="GQ3" s="149">
        <v>125</v>
      </c>
      <c r="GR3" s="166">
        <v>69</v>
      </c>
      <c r="GS3" s="166">
        <v>69</v>
      </c>
      <c r="GT3" s="178">
        <v>108</v>
      </c>
      <c r="GU3" s="57">
        <v>52</v>
      </c>
      <c r="GV3" s="171">
        <v>0</v>
      </c>
      <c r="GW3" s="57">
        <v>52</v>
      </c>
      <c r="GX3" s="171">
        <v>0</v>
      </c>
      <c r="GY3" s="57">
        <v>52</v>
      </c>
      <c r="GZ3" s="178">
        <v>108</v>
      </c>
      <c r="HA3" s="151">
        <v>87</v>
      </c>
      <c r="HB3" s="151">
        <v>87</v>
      </c>
      <c r="HC3" s="190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34">
        <v>52</v>
      </c>
      <c r="HJ3" s="208">
        <v>0</v>
      </c>
      <c r="HK3" s="208">
        <v>0</v>
      </c>
      <c r="HL3" s="235">
        <v>25</v>
      </c>
      <c r="HM3" s="171">
        <v>0</v>
      </c>
      <c r="HN3" s="7">
        <v>118</v>
      </c>
      <c r="HO3" s="171">
        <v>0</v>
      </c>
      <c r="HP3" s="7">
        <v>118</v>
      </c>
      <c r="HQ3" s="175">
        <v>0</v>
      </c>
      <c r="HR3" s="57">
        <v>52</v>
      </c>
      <c r="HS3" s="171">
        <v>0</v>
      </c>
      <c r="HT3" s="57">
        <v>52</v>
      </c>
      <c r="HU3" s="171">
        <v>0</v>
      </c>
      <c r="HV3" s="57">
        <v>52</v>
      </c>
      <c r="HW3" s="171">
        <v>0</v>
      </c>
      <c r="HX3" s="57">
        <v>52</v>
      </c>
      <c r="HY3" s="179">
        <v>25</v>
      </c>
      <c r="HZ3" s="57">
        <v>52</v>
      </c>
      <c r="IA3" s="171">
        <v>0</v>
      </c>
      <c r="IB3" s="57">
        <v>52</v>
      </c>
      <c r="IC3" s="171">
        <v>0</v>
      </c>
      <c r="ID3" s="57">
        <v>52</v>
      </c>
      <c r="IE3" s="171">
        <v>0</v>
      </c>
      <c r="IF3" s="57">
        <v>52</v>
      </c>
      <c r="IG3" s="175">
        <v>0</v>
      </c>
      <c r="IH3" s="57">
        <v>52</v>
      </c>
      <c r="II3" s="171">
        <v>0</v>
      </c>
      <c r="IJ3" s="57">
        <v>52</v>
      </c>
      <c r="IK3" s="171">
        <v>0</v>
      </c>
      <c r="IL3" s="57">
        <v>52</v>
      </c>
      <c r="IM3" s="171">
        <v>0</v>
      </c>
      <c r="IN3" s="57">
        <v>52</v>
      </c>
      <c r="IO3" s="171">
        <v>0</v>
      </c>
      <c r="IP3" s="57">
        <v>52</v>
      </c>
      <c r="IQ3" s="171">
        <v>0</v>
      </c>
      <c r="IR3" s="173">
        <v>27</v>
      </c>
      <c r="IS3" s="151">
        <v>87</v>
      </c>
      <c r="IT3" s="167">
        <v>24</v>
      </c>
      <c r="IU3" s="167">
        <v>24</v>
      </c>
      <c r="IV3" s="167">
        <v>24</v>
      </c>
      <c r="IW3" s="151">
        <v>87</v>
      </c>
    </row>
    <row r="4" spans="1:257" s="152" customFormat="1" ht="20" hidden="1" customHeight="1" x14ac:dyDescent="0.15">
      <c r="A4" s="153">
        <v>2</v>
      </c>
      <c r="B4" s="159">
        <v>0</v>
      </c>
      <c r="C4" s="159">
        <v>0</v>
      </c>
      <c r="D4" s="158">
        <v>9</v>
      </c>
      <c r="E4" s="158">
        <v>10</v>
      </c>
      <c r="F4" s="159">
        <v>0</v>
      </c>
      <c r="G4" s="159">
        <v>0</v>
      </c>
      <c r="H4" s="159">
        <v>0</v>
      </c>
      <c r="I4" s="159">
        <v>0</v>
      </c>
      <c r="J4" s="159">
        <v>0</v>
      </c>
      <c r="K4" s="180">
        <v>34</v>
      </c>
      <c r="L4" s="180">
        <v>34</v>
      </c>
      <c r="M4" s="159">
        <v>0</v>
      </c>
      <c r="N4" s="158">
        <v>9</v>
      </c>
      <c r="O4" s="158">
        <v>10</v>
      </c>
      <c r="P4" s="159">
        <v>0</v>
      </c>
      <c r="Q4" s="181">
        <v>7</v>
      </c>
      <c r="R4" s="158">
        <v>8</v>
      </c>
      <c r="S4" s="169">
        <v>40</v>
      </c>
      <c r="T4" s="182">
        <v>102</v>
      </c>
      <c r="U4" s="169">
        <v>40</v>
      </c>
      <c r="V4" s="159">
        <v>0</v>
      </c>
      <c r="W4" s="169">
        <v>40</v>
      </c>
      <c r="X4" s="159">
        <v>0</v>
      </c>
      <c r="Y4" s="167">
        <v>24</v>
      </c>
      <c r="Z4" s="167">
        <v>24</v>
      </c>
      <c r="AA4" s="167">
        <v>24</v>
      </c>
      <c r="AB4" s="167">
        <v>24</v>
      </c>
      <c r="AC4" s="169">
        <v>40</v>
      </c>
      <c r="AD4" s="167">
        <v>24</v>
      </c>
      <c r="AE4" s="183">
        <v>41</v>
      </c>
      <c r="AF4" s="161">
        <v>86</v>
      </c>
      <c r="AG4" s="162">
        <v>86</v>
      </c>
      <c r="AH4" s="161">
        <v>86</v>
      </c>
      <c r="AI4" s="171">
        <v>0</v>
      </c>
      <c r="AJ4" s="27">
        <v>96</v>
      </c>
      <c r="AK4" s="184">
        <v>35</v>
      </c>
      <c r="AL4" s="169">
        <v>40</v>
      </c>
      <c r="AM4" s="27">
        <v>96</v>
      </c>
      <c r="AN4" s="171">
        <v>0</v>
      </c>
      <c r="AO4" s="169">
        <v>40</v>
      </c>
      <c r="AP4" s="169">
        <v>40</v>
      </c>
      <c r="AQ4" s="159">
        <v>35</v>
      </c>
      <c r="AR4" s="169">
        <v>40</v>
      </c>
      <c r="AS4" s="159">
        <v>0</v>
      </c>
      <c r="AT4" s="159">
        <v>0</v>
      </c>
      <c r="AU4" s="233">
        <v>59</v>
      </c>
      <c r="AV4" s="159">
        <v>0</v>
      </c>
      <c r="AW4" s="159">
        <v>0</v>
      </c>
      <c r="AX4" s="185">
        <v>40</v>
      </c>
      <c r="AY4" s="159">
        <v>0</v>
      </c>
      <c r="AZ4" s="159">
        <v>0</v>
      </c>
      <c r="BA4" s="233">
        <v>59</v>
      </c>
      <c r="BB4" s="159">
        <v>0</v>
      </c>
      <c r="BC4" s="163">
        <v>40</v>
      </c>
      <c r="BD4" s="163">
        <v>40</v>
      </c>
      <c r="BE4" s="163">
        <v>40</v>
      </c>
      <c r="BF4" s="186">
        <v>43</v>
      </c>
      <c r="BG4" s="163">
        <v>40</v>
      </c>
      <c r="BH4" s="163">
        <v>40</v>
      </c>
      <c r="BI4" s="159">
        <v>0</v>
      </c>
      <c r="BJ4" s="233">
        <v>59</v>
      </c>
      <c r="BK4" s="159">
        <v>0</v>
      </c>
      <c r="BL4" s="159">
        <v>0</v>
      </c>
      <c r="BM4" s="187">
        <v>40</v>
      </c>
      <c r="BN4" s="159">
        <v>0</v>
      </c>
      <c r="BO4" s="169">
        <v>40</v>
      </c>
      <c r="BP4" s="159">
        <v>0</v>
      </c>
      <c r="BQ4" s="169">
        <v>40</v>
      </c>
      <c r="BR4" s="169">
        <v>40</v>
      </c>
      <c r="BS4" s="159">
        <v>0</v>
      </c>
      <c r="BT4" s="1">
        <v>105</v>
      </c>
      <c r="BU4" s="188">
        <v>31</v>
      </c>
      <c r="BV4" s="159">
        <v>0</v>
      </c>
      <c r="BW4" s="167">
        <v>24</v>
      </c>
      <c r="BX4" s="167">
        <v>24</v>
      </c>
      <c r="BY4" s="10">
        <v>110</v>
      </c>
      <c r="BZ4" s="167">
        <v>24</v>
      </c>
      <c r="CA4" s="167">
        <v>24</v>
      </c>
      <c r="CB4" s="167">
        <v>24</v>
      </c>
      <c r="CC4" s="9">
        <v>77</v>
      </c>
      <c r="CD4" s="9">
        <v>77</v>
      </c>
      <c r="CE4" s="167">
        <v>24</v>
      </c>
      <c r="CF4" s="167">
        <v>24</v>
      </c>
      <c r="CG4" s="167">
        <v>24</v>
      </c>
      <c r="CH4" s="167">
        <v>24</v>
      </c>
      <c r="CI4" s="167">
        <v>24</v>
      </c>
      <c r="CJ4" s="167">
        <v>24</v>
      </c>
      <c r="CK4" s="10">
        <v>102</v>
      </c>
      <c r="CL4" s="167">
        <v>24</v>
      </c>
      <c r="CM4" s="167">
        <v>24</v>
      </c>
      <c r="CN4" s="25">
        <v>71</v>
      </c>
      <c r="CO4" s="180">
        <v>34</v>
      </c>
      <c r="CP4" s="159">
        <v>0</v>
      </c>
      <c r="CQ4" s="159">
        <v>0</v>
      </c>
      <c r="CR4" s="180">
        <v>34</v>
      </c>
      <c r="CS4" s="160">
        <v>0</v>
      </c>
      <c r="CT4" s="159">
        <v>0</v>
      </c>
      <c r="CU4" s="180">
        <v>34</v>
      </c>
      <c r="CV4" s="159">
        <v>0</v>
      </c>
      <c r="CW4" s="180">
        <v>34</v>
      </c>
      <c r="CX4" s="159">
        <v>0</v>
      </c>
      <c r="CY4" s="159">
        <v>0</v>
      </c>
      <c r="CZ4" s="180">
        <v>34</v>
      </c>
      <c r="DA4" s="159">
        <v>0</v>
      </c>
      <c r="DB4" s="159">
        <v>0</v>
      </c>
      <c r="DC4" s="159">
        <v>0</v>
      </c>
      <c r="DD4" s="233">
        <v>59</v>
      </c>
      <c r="DE4" s="159">
        <v>0</v>
      </c>
      <c r="DF4" s="172">
        <v>120</v>
      </c>
      <c r="DG4" s="159">
        <v>0</v>
      </c>
      <c r="DH4" s="7">
        <v>116</v>
      </c>
      <c r="DI4" s="160">
        <v>0</v>
      </c>
      <c r="DJ4" s="159">
        <v>0</v>
      </c>
      <c r="DK4" s="159">
        <v>0</v>
      </c>
      <c r="DL4" s="180">
        <v>34</v>
      </c>
      <c r="DM4" s="159">
        <v>0</v>
      </c>
      <c r="DN4" s="159">
        <v>0</v>
      </c>
      <c r="DO4" s="180">
        <v>34</v>
      </c>
      <c r="DP4" s="159">
        <v>0</v>
      </c>
      <c r="DQ4" s="180">
        <v>34</v>
      </c>
      <c r="DR4" s="159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9">
        <v>0</v>
      </c>
      <c r="DY4" s="159">
        <v>0</v>
      </c>
      <c r="DZ4" s="161">
        <v>78</v>
      </c>
      <c r="EA4" s="171">
        <v>0</v>
      </c>
      <c r="EB4" s="171">
        <v>0</v>
      </c>
      <c r="EC4" s="179">
        <v>25</v>
      </c>
      <c r="ED4" s="171">
        <v>0</v>
      </c>
      <c r="EE4" s="171">
        <v>0</v>
      </c>
      <c r="EF4" s="171">
        <v>0</v>
      </c>
      <c r="EG4" s="171">
        <v>0</v>
      </c>
      <c r="EH4" s="179">
        <v>25</v>
      </c>
      <c r="EI4" s="171">
        <v>0</v>
      </c>
      <c r="EJ4" s="171">
        <v>0</v>
      </c>
      <c r="EK4" s="171">
        <v>0</v>
      </c>
      <c r="EL4" s="171">
        <v>0</v>
      </c>
      <c r="EM4" s="179">
        <v>25</v>
      </c>
      <c r="EN4" s="53">
        <v>123</v>
      </c>
      <c r="EO4" s="175">
        <v>0</v>
      </c>
      <c r="EP4" s="171">
        <v>0</v>
      </c>
      <c r="EQ4" s="171">
        <v>0</v>
      </c>
      <c r="ER4" s="166">
        <v>69</v>
      </c>
      <c r="ES4" s="171">
        <v>0</v>
      </c>
      <c r="ET4" s="171">
        <v>0</v>
      </c>
      <c r="EU4" s="171">
        <v>0</v>
      </c>
      <c r="EV4" s="174">
        <v>35</v>
      </c>
      <c r="EW4" s="171">
        <v>0</v>
      </c>
      <c r="EX4" s="174">
        <v>35</v>
      </c>
      <c r="EY4" s="171">
        <v>0</v>
      </c>
      <c r="EZ4" s="171">
        <v>0</v>
      </c>
      <c r="FA4" s="171">
        <v>0</v>
      </c>
      <c r="FB4" s="169">
        <v>40</v>
      </c>
      <c r="FC4" s="166">
        <v>69</v>
      </c>
      <c r="FD4" s="171">
        <v>0</v>
      </c>
      <c r="FE4" s="162">
        <v>78</v>
      </c>
      <c r="FF4" s="151">
        <v>85</v>
      </c>
      <c r="FG4" s="171">
        <v>0</v>
      </c>
      <c r="FH4" s="166">
        <v>69</v>
      </c>
      <c r="FI4" s="171">
        <v>0</v>
      </c>
      <c r="FJ4" s="179">
        <v>25</v>
      </c>
      <c r="FK4" s="171">
        <v>0</v>
      </c>
      <c r="FL4" s="189">
        <v>26</v>
      </c>
      <c r="FM4" s="171">
        <v>0</v>
      </c>
      <c r="FN4" s="171">
        <v>0</v>
      </c>
      <c r="FO4" s="179">
        <v>25</v>
      </c>
      <c r="FP4" s="171">
        <v>0</v>
      </c>
      <c r="FQ4" s="173">
        <v>35</v>
      </c>
      <c r="FR4" s="189">
        <v>26</v>
      </c>
      <c r="FS4" s="171">
        <v>0</v>
      </c>
      <c r="FT4" s="171">
        <v>0</v>
      </c>
      <c r="FU4" s="173">
        <v>35</v>
      </c>
      <c r="FV4" s="177">
        <v>0</v>
      </c>
      <c r="FW4" s="179">
        <v>25</v>
      </c>
      <c r="FX4" s="173">
        <v>35</v>
      </c>
      <c r="FY4" s="171">
        <v>0</v>
      </c>
      <c r="FZ4" s="61">
        <v>90</v>
      </c>
      <c r="GA4" s="200">
        <v>90</v>
      </c>
      <c r="GB4" s="171">
        <v>0</v>
      </c>
      <c r="GC4" s="179">
        <v>25</v>
      </c>
      <c r="GD4" s="173">
        <v>35</v>
      </c>
      <c r="GE4" s="171">
        <v>0</v>
      </c>
      <c r="GF4" s="171">
        <v>0</v>
      </c>
      <c r="GG4" s="179">
        <v>25</v>
      </c>
      <c r="GH4" s="171">
        <v>0</v>
      </c>
      <c r="GI4" s="171">
        <v>0</v>
      </c>
      <c r="GJ4" s="171">
        <v>0</v>
      </c>
      <c r="GK4" s="175">
        <v>0</v>
      </c>
      <c r="GL4" s="171">
        <v>0</v>
      </c>
      <c r="GM4" s="171">
        <v>0</v>
      </c>
      <c r="GN4" s="189">
        <v>26</v>
      </c>
      <c r="GO4" s="171">
        <v>0</v>
      </c>
      <c r="GP4" s="171">
        <v>0</v>
      </c>
      <c r="GQ4" s="75">
        <v>93</v>
      </c>
      <c r="GR4" s="166">
        <v>69</v>
      </c>
      <c r="GS4" s="166">
        <v>69</v>
      </c>
      <c r="GT4" s="169">
        <v>40</v>
      </c>
      <c r="GU4" s="169">
        <v>40</v>
      </c>
      <c r="GV4" s="166">
        <v>69</v>
      </c>
      <c r="GW4" s="166">
        <v>69</v>
      </c>
      <c r="GX4" s="169">
        <v>40</v>
      </c>
      <c r="GY4" s="169">
        <v>40</v>
      </c>
      <c r="GZ4" s="166">
        <v>69</v>
      </c>
      <c r="HA4" s="151">
        <v>87</v>
      </c>
      <c r="HB4" s="151">
        <v>87</v>
      </c>
      <c r="HC4" s="190">
        <v>69</v>
      </c>
      <c r="HD4" s="169">
        <v>40</v>
      </c>
      <c r="HE4" s="190">
        <v>69</v>
      </c>
      <c r="HF4" s="190">
        <v>69</v>
      </c>
      <c r="HG4" s="190">
        <v>69</v>
      </c>
      <c r="HH4" s="169">
        <v>40</v>
      </c>
      <c r="HI4" s="190">
        <v>69</v>
      </c>
      <c r="HJ4" s="190">
        <v>69</v>
      </c>
      <c r="HK4" s="208">
        <v>0</v>
      </c>
      <c r="HL4" s="208">
        <v>0</v>
      </c>
      <c r="HM4" s="171">
        <v>0</v>
      </c>
      <c r="HN4" s="171">
        <v>0</v>
      </c>
      <c r="HO4" s="191">
        <v>26</v>
      </c>
      <c r="HP4" s="171">
        <v>0</v>
      </c>
      <c r="HQ4" s="175">
        <v>0</v>
      </c>
      <c r="HR4" s="171">
        <v>0</v>
      </c>
      <c r="HS4" s="189">
        <v>26</v>
      </c>
      <c r="HT4" s="171">
        <v>0</v>
      </c>
      <c r="HU4" s="171">
        <v>0</v>
      </c>
      <c r="HV4" s="171">
        <v>0</v>
      </c>
      <c r="HW4" s="189">
        <v>26</v>
      </c>
      <c r="HX4" s="171">
        <v>0</v>
      </c>
      <c r="HY4" s="171">
        <v>0</v>
      </c>
      <c r="HZ4" s="171">
        <v>0</v>
      </c>
      <c r="IA4" s="189">
        <v>26</v>
      </c>
      <c r="IB4" s="171">
        <v>0</v>
      </c>
      <c r="IC4" s="171">
        <v>0</v>
      </c>
      <c r="ID4" s="171">
        <v>0</v>
      </c>
      <c r="IE4" s="189">
        <v>26</v>
      </c>
      <c r="IF4" s="171">
        <v>0</v>
      </c>
      <c r="IG4" s="175">
        <v>0</v>
      </c>
      <c r="IH4" s="171">
        <v>0</v>
      </c>
      <c r="II4" s="189">
        <v>26</v>
      </c>
      <c r="IJ4" s="171">
        <v>0</v>
      </c>
      <c r="IK4" s="179">
        <v>25</v>
      </c>
      <c r="IL4" s="171">
        <v>0</v>
      </c>
      <c r="IM4" s="189">
        <v>26</v>
      </c>
      <c r="IN4" s="171">
        <v>0</v>
      </c>
      <c r="IO4" s="171">
        <v>0</v>
      </c>
      <c r="IP4" s="171">
        <v>0</v>
      </c>
      <c r="IQ4" s="191">
        <v>26</v>
      </c>
      <c r="IR4" s="171">
        <v>0</v>
      </c>
      <c r="IS4" s="151">
        <v>87</v>
      </c>
      <c r="IT4" s="167">
        <v>24</v>
      </c>
      <c r="IU4" s="189">
        <v>26</v>
      </c>
      <c r="IV4" s="167">
        <v>24</v>
      </c>
      <c r="IW4" s="151">
        <v>87</v>
      </c>
    </row>
    <row r="5" spans="1:257" s="152" customFormat="1" ht="20" hidden="1" customHeight="1" x14ac:dyDescent="0.15">
      <c r="A5" s="153">
        <v>3</v>
      </c>
      <c r="B5" s="159">
        <v>0</v>
      </c>
      <c r="C5" s="180">
        <v>34</v>
      </c>
      <c r="D5" s="180">
        <v>34</v>
      </c>
      <c r="E5" s="180">
        <v>34</v>
      </c>
      <c r="F5" s="159">
        <v>0</v>
      </c>
      <c r="G5" s="159">
        <v>35</v>
      </c>
      <c r="H5" s="159">
        <v>0</v>
      </c>
      <c r="I5" s="159">
        <v>35</v>
      </c>
      <c r="J5" s="180">
        <v>34</v>
      </c>
      <c r="K5" s="180">
        <v>34</v>
      </c>
      <c r="L5" s="180">
        <v>34</v>
      </c>
      <c r="M5" s="180">
        <v>34</v>
      </c>
      <c r="N5" s="159">
        <v>0</v>
      </c>
      <c r="O5" s="159">
        <v>0</v>
      </c>
      <c r="P5" s="159">
        <v>0</v>
      </c>
      <c r="Q5" s="181">
        <v>9</v>
      </c>
      <c r="R5" s="158">
        <v>10</v>
      </c>
      <c r="S5" s="192">
        <v>63</v>
      </c>
      <c r="T5" s="192">
        <v>63</v>
      </c>
      <c r="U5" s="192">
        <v>63</v>
      </c>
      <c r="V5" s="192">
        <v>63</v>
      </c>
      <c r="W5" s="192">
        <v>63</v>
      </c>
      <c r="X5" s="161">
        <v>81</v>
      </c>
      <c r="Y5" s="161">
        <v>82</v>
      </c>
      <c r="Z5" s="161">
        <v>82</v>
      </c>
      <c r="AA5" s="161">
        <v>82</v>
      </c>
      <c r="AB5" s="161">
        <v>82</v>
      </c>
      <c r="AC5" s="161">
        <v>82</v>
      </c>
      <c r="AD5" s="161">
        <v>82</v>
      </c>
      <c r="AE5" s="161">
        <v>82</v>
      </c>
      <c r="AF5" s="161">
        <v>82</v>
      </c>
      <c r="AG5" s="162">
        <v>83</v>
      </c>
      <c r="AH5" s="161">
        <v>86</v>
      </c>
      <c r="AI5" s="171">
        <v>0</v>
      </c>
      <c r="AJ5" s="171">
        <v>0</v>
      </c>
      <c r="AK5" s="166">
        <v>69</v>
      </c>
      <c r="AL5" s="161">
        <v>81</v>
      </c>
      <c r="AM5" s="161">
        <v>83</v>
      </c>
      <c r="AN5" s="166">
        <v>69</v>
      </c>
      <c r="AO5" s="161">
        <v>81</v>
      </c>
      <c r="AP5" s="161">
        <v>83</v>
      </c>
      <c r="AQ5" s="159">
        <v>0</v>
      </c>
      <c r="AR5" s="233">
        <v>59</v>
      </c>
      <c r="AS5" s="159">
        <v>0</v>
      </c>
      <c r="AT5" s="193">
        <v>115</v>
      </c>
      <c r="AU5" s="159">
        <v>0</v>
      </c>
      <c r="AV5" s="159">
        <v>0</v>
      </c>
      <c r="AW5" s="159">
        <v>0</v>
      </c>
      <c r="AX5" s="233">
        <v>59</v>
      </c>
      <c r="AY5" s="159">
        <v>0</v>
      </c>
      <c r="AZ5" s="193">
        <v>115</v>
      </c>
      <c r="BA5" s="159">
        <v>0</v>
      </c>
      <c r="BB5" s="193">
        <v>115</v>
      </c>
      <c r="BC5" s="233">
        <v>59</v>
      </c>
      <c r="BD5" s="233">
        <v>59</v>
      </c>
      <c r="BE5" s="233">
        <v>59</v>
      </c>
      <c r="BF5" s="233">
        <v>59</v>
      </c>
      <c r="BG5" s="233">
        <v>59</v>
      </c>
      <c r="BH5" s="233">
        <v>59</v>
      </c>
      <c r="BI5" s="193">
        <v>115</v>
      </c>
      <c r="BJ5" s="159">
        <v>0</v>
      </c>
      <c r="BK5" s="193">
        <v>115</v>
      </c>
      <c r="BL5" s="159">
        <v>0</v>
      </c>
      <c r="BM5" s="233">
        <v>59</v>
      </c>
      <c r="BN5" s="194">
        <v>115</v>
      </c>
      <c r="BO5" s="233">
        <v>59</v>
      </c>
      <c r="BP5" s="159">
        <v>0</v>
      </c>
      <c r="BQ5" s="151">
        <v>85</v>
      </c>
      <c r="BR5" s="151">
        <v>85</v>
      </c>
      <c r="BS5" s="151">
        <v>85</v>
      </c>
      <c r="BT5" s="166">
        <v>69</v>
      </c>
      <c r="BU5" s="166">
        <v>69</v>
      </c>
      <c r="BV5" s="151">
        <v>85</v>
      </c>
      <c r="BW5" s="151">
        <v>85</v>
      </c>
      <c r="BX5" s="167">
        <v>24</v>
      </c>
      <c r="BY5" s="167">
        <v>24</v>
      </c>
      <c r="BZ5" s="167">
        <v>24</v>
      </c>
      <c r="CA5" s="10">
        <v>110</v>
      </c>
      <c r="CB5" s="166">
        <v>69</v>
      </c>
      <c r="CC5" s="151">
        <v>85</v>
      </c>
      <c r="CD5" s="151">
        <v>85</v>
      </c>
      <c r="CE5" s="243">
        <v>69</v>
      </c>
      <c r="CF5" s="151">
        <v>85</v>
      </c>
      <c r="CG5" s="151">
        <v>85</v>
      </c>
      <c r="CH5" s="151">
        <v>85</v>
      </c>
      <c r="CI5" s="151">
        <v>85</v>
      </c>
      <c r="CJ5" s="151">
        <v>85</v>
      </c>
      <c r="CK5" s="151">
        <v>85</v>
      </c>
      <c r="CL5" s="151">
        <v>85</v>
      </c>
      <c r="CM5" s="151">
        <v>85</v>
      </c>
      <c r="CN5" s="25">
        <v>71</v>
      </c>
      <c r="CO5" s="180">
        <v>34</v>
      </c>
      <c r="CP5" s="159">
        <v>0</v>
      </c>
      <c r="CQ5" s="159">
        <v>0</v>
      </c>
      <c r="CR5" s="180">
        <v>34</v>
      </c>
      <c r="CS5" s="160">
        <v>0</v>
      </c>
      <c r="CT5" s="159">
        <v>0</v>
      </c>
      <c r="CU5" s="180">
        <v>34</v>
      </c>
      <c r="CV5" s="159">
        <v>0</v>
      </c>
      <c r="CW5" s="180">
        <v>34</v>
      </c>
      <c r="CX5" s="159">
        <v>0</v>
      </c>
      <c r="CY5" s="159">
        <v>0</v>
      </c>
      <c r="CZ5" s="180">
        <v>34</v>
      </c>
      <c r="DA5" s="159">
        <v>0</v>
      </c>
      <c r="DB5" s="233">
        <v>59</v>
      </c>
      <c r="DC5" s="159">
        <v>0</v>
      </c>
      <c r="DD5" s="159">
        <v>0</v>
      </c>
      <c r="DE5" s="159">
        <v>0</v>
      </c>
      <c r="DF5" s="159">
        <v>0</v>
      </c>
      <c r="DG5" s="159">
        <v>0</v>
      </c>
      <c r="DH5" s="159">
        <v>0</v>
      </c>
      <c r="DI5" s="160">
        <v>0</v>
      </c>
      <c r="DJ5" s="159">
        <v>0</v>
      </c>
      <c r="DK5" s="159">
        <v>0</v>
      </c>
      <c r="DL5" s="180">
        <v>34</v>
      </c>
      <c r="DM5" s="159">
        <v>0</v>
      </c>
      <c r="DN5" s="159">
        <v>0</v>
      </c>
      <c r="DO5" s="180">
        <v>34</v>
      </c>
      <c r="DP5" s="159">
        <v>0</v>
      </c>
      <c r="DQ5" s="180">
        <v>34</v>
      </c>
      <c r="DR5" s="159">
        <v>0</v>
      </c>
      <c r="DS5" s="55">
        <v>13</v>
      </c>
      <c r="DT5" s="55">
        <v>13</v>
      </c>
      <c r="DU5" s="150">
        <v>14</v>
      </c>
      <c r="DV5" s="55">
        <v>13</v>
      </c>
      <c r="DW5" s="55">
        <v>13</v>
      </c>
      <c r="DX5" s="159">
        <v>0</v>
      </c>
      <c r="DY5" s="159">
        <v>0</v>
      </c>
      <c r="DZ5" s="161">
        <v>78</v>
      </c>
      <c r="EA5" s="189">
        <v>26</v>
      </c>
      <c r="EB5" s="2">
        <v>106</v>
      </c>
      <c r="EC5" s="171">
        <v>0</v>
      </c>
      <c r="ED5" s="171">
        <v>0</v>
      </c>
      <c r="EE5" s="171">
        <v>0</v>
      </c>
      <c r="EF5" s="189">
        <v>26</v>
      </c>
      <c r="EG5" s="171">
        <v>0</v>
      </c>
      <c r="EH5" s="171">
        <v>0</v>
      </c>
      <c r="EI5" s="171">
        <v>0</v>
      </c>
      <c r="EJ5" s="171">
        <v>0</v>
      </c>
      <c r="EK5" s="189">
        <v>26</v>
      </c>
      <c r="EL5" s="171">
        <v>0</v>
      </c>
      <c r="EM5" s="171">
        <v>0</v>
      </c>
      <c r="EN5" s="61">
        <v>90</v>
      </c>
      <c r="EO5" s="195">
        <v>26</v>
      </c>
      <c r="EP5" s="189">
        <v>26</v>
      </c>
      <c r="EQ5" s="171">
        <v>0</v>
      </c>
      <c r="ER5" s="166">
        <v>69</v>
      </c>
      <c r="ES5" s="171">
        <v>0</v>
      </c>
      <c r="ET5" s="171">
        <v>0</v>
      </c>
      <c r="EU5" s="189">
        <v>26</v>
      </c>
      <c r="EV5" s="171">
        <v>0</v>
      </c>
      <c r="EW5" s="171">
        <v>0</v>
      </c>
      <c r="EX5" s="171">
        <v>0</v>
      </c>
      <c r="EY5" s="189">
        <v>26</v>
      </c>
      <c r="EZ5" s="169">
        <v>40</v>
      </c>
      <c r="FA5" s="171">
        <v>0</v>
      </c>
      <c r="FB5" s="204">
        <v>58</v>
      </c>
      <c r="FC5" s="204">
        <v>58</v>
      </c>
      <c r="FD5" s="204">
        <v>58</v>
      </c>
      <c r="FE5" s="162">
        <v>78</v>
      </c>
      <c r="FF5" s="151">
        <v>85</v>
      </c>
      <c r="FG5" s="171">
        <v>0</v>
      </c>
      <c r="FH5" s="166">
        <v>69</v>
      </c>
      <c r="FI5" s="171">
        <v>0</v>
      </c>
      <c r="FJ5" s="171">
        <v>0</v>
      </c>
      <c r="FK5" s="171">
        <v>0</v>
      </c>
      <c r="FL5" s="171">
        <v>0</v>
      </c>
      <c r="FM5" s="173">
        <v>35</v>
      </c>
      <c r="FN5" s="171">
        <v>0</v>
      </c>
      <c r="FO5" s="189">
        <v>26</v>
      </c>
      <c r="FP5" s="171">
        <v>0</v>
      </c>
      <c r="FQ5" s="171">
        <v>0</v>
      </c>
      <c r="FR5" s="171">
        <v>0</v>
      </c>
      <c r="FS5" s="171">
        <v>0</v>
      </c>
      <c r="FT5" s="171">
        <v>0</v>
      </c>
      <c r="FU5" s="189">
        <v>26</v>
      </c>
      <c r="FV5" s="177">
        <v>0</v>
      </c>
      <c r="FW5" s="171">
        <v>0</v>
      </c>
      <c r="FX5" s="189">
        <v>26</v>
      </c>
      <c r="FY5" s="171">
        <v>0</v>
      </c>
      <c r="FZ5" s="171">
        <v>0</v>
      </c>
      <c r="GA5" s="171">
        <v>0</v>
      </c>
      <c r="GB5" s="171">
        <v>0</v>
      </c>
      <c r="GC5" s="171">
        <v>0</v>
      </c>
      <c r="GD5" s="189">
        <v>26</v>
      </c>
      <c r="GE5" s="171">
        <v>0</v>
      </c>
      <c r="GF5" s="173">
        <v>35</v>
      </c>
      <c r="GG5" s="171">
        <v>0</v>
      </c>
      <c r="GH5" s="171">
        <v>0</v>
      </c>
      <c r="GI5" s="189">
        <v>26</v>
      </c>
      <c r="GJ5" s="171">
        <v>0</v>
      </c>
      <c r="GK5" s="175">
        <v>0</v>
      </c>
      <c r="GL5" s="189">
        <v>26</v>
      </c>
      <c r="GM5" s="171">
        <v>0</v>
      </c>
      <c r="GN5" s="171">
        <v>0</v>
      </c>
      <c r="GO5" s="171">
        <v>0</v>
      </c>
      <c r="GP5" s="189">
        <v>26</v>
      </c>
      <c r="GQ5" s="171">
        <v>0</v>
      </c>
      <c r="GR5" s="166">
        <v>69</v>
      </c>
      <c r="GS5" s="169">
        <v>40</v>
      </c>
      <c r="GT5" s="166">
        <v>69</v>
      </c>
      <c r="GU5" s="166">
        <v>69</v>
      </c>
      <c r="GV5" s="166">
        <v>69</v>
      </c>
      <c r="GW5" s="169">
        <v>40</v>
      </c>
      <c r="GX5" s="166">
        <v>69</v>
      </c>
      <c r="GY5" s="166">
        <v>69</v>
      </c>
      <c r="GZ5" s="166">
        <v>69</v>
      </c>
      <c r="HA5" s="166">
        <v>69</v>
      </c>
      <c r="HB5" s="243">
        <v>69</v>
      </c>
      <c r="HC5" s="169">
        <v>40</v>
      </c>
      <c r="HD5" s="166">
        <v>69</v>
      </c>
      <c r="HE5" s="169">
        <v>40</v>
      </c>
      <c r="HF5" s="190">
        <v>69</v>
      </c>
      <c r="HG5" s="169">
        <v>40</v>
      </c>
      <c r="HH5" s="166">
        <v>69</v>
      </c>
      <c r="HI5" s="169">
        <v>40</v>
      </c>
      <c r="HJ5" s="190">
        <v>69</v>
      </c>
      <c r="HK5" s="237">
        <v>69</v>
      </c>
      <c r="HL5" s="208">
        <v>0</v>
      </c>
      <c r="HM5" s="179">
        <v>25</v>
      </c>
      <c r="HN5" s="171">
        <v>0</v>
      </c>
      <c r="HO5" s="171">
        <v>0</v>
      </c>
      <c r="HP5" s="171">
        <v>0</v>
      </c>
      <c r="HQ5" s="175">
        <v>0</v>
      </c>
      <c r="HR5" s="171">
        <v>0</v>
      </c>
      <c r="HS5" s="171">
        <v>0</v>
      </c>
      <c r="HT5" s="171">
        <v>0</v>
      </c>
      <c r="HU5" s="179">
        <v>25</v>
      </c>
      <c r="HV5" s="171">
        <v>0</v>
      </c>
      <c r="HW5" s="171">
        <v>0</v>
      </c>
      <c r="HX5" s="171">
        <v>0</v>
      </c>
      <c r="HY5" s="27">
        <v>96</v>
      </c>
      <c r="HZ5" s="27">
        <v>97</v>
      </c>
      <c r="IA5" s="171">
        <v>0</v>
      </c>
      <c r="IB5" s="188">
        <v>31</v>
      </c>
      <c r="IC5" s="179">
        <v>25</v>
      </c>
      <c r="ID5" s="171">
        <v>0</v>
      </c>
      <c r="IE5" s="171">
        <v>0</v>
      </c>
      <c r="IF5" s="171">
        <v>0</v>
      </c>
      <c r="IG5" s="188">
        <v>31</v>
      </c>
      <c r="IH5" s="171">
        <v>0</v>
      </c>
      <c r="II5" s="171">
        <v>0</v>
      </c>
      <c r="IJ5" s="171">
        <v>0</v>
      </c>
      <c r="IK5" s="171">
        <v>0</v>
      </c>
      <c r="IL5" s="27">
        <v>96</v>
      </c>
      <c r="IM5" s="171">
        <v>0</v>
      </c>
      <c r="IN5" s="27">
        <v>96</v>
      </c>
      <c r="IO5" s="171">
        <v>0</v>
      </c>
      <c r="IP5" s="27">
        <v>96</v>
      </c>
      <c r="IQ5" s="171">
        <v>0</v>
      </c>
      <c r="IR5" s="27">
        <v>96</v>
      </c>
      <c r="IS5" s="15">
        <v>75</v>
      </c>
      <c r="IT5" s="17">
        <v>44</v>
      </c>
      <c r="IU5" s="14">
        <v>38</v>
      </c>
      <c r="IV5" s="167">
        <v>24</v>
      </c>
      <c r="IW5" s="151">
        <v>87</v>
      </c>
    </row>
    <row r="6" spans="1:257" s="152" customFormat="1" ht="20" hidden="1" customHeight="1" x14ac:dyDescent="0.15">
      <c r="A6" s="153">
        <v>4</v>
      </c>
      <c r="B6" s="159">
        <v>0</v>
      </c>
      <c r="C6" s="180">
        <v>34</v>
      </c>
      <c r="D6" s="180">
        <v>34</v>
      </c>
      <c r="E6" s="180">
        <v>34</v>
      </c>
      <c r="F6" s="159">
        <v>0</v>
      </c>
      <c r="G6" s="159">
        <v>0</v>
      </c>
      <c r="H6" s="196">
        <v>122</v>
      </c>
      <c r="I6" s="159">
        <v>0</v>
      </c>
      <c r="J6" s="180">
        <v>34</v>
      </c>
      <c r="K6" s="180">
        <v>34</v>
      </c>
      <c r="L6" s="180">
        <v>34</v>
      </c>
      <c r="M6" s="180">
        <v>34</v>
      </c>
      <c r="N6" s="159">
        <v>0</v>
      </c>
      <c r="O6" s="159">
        <v>0</v>
      </c>
      <c r="P6" s="159">
        <v>35</v>
      </c>
      <c r="Q6" s="160">
        <v>0</v>
      </c>
      <c r="R6" s="159">
        <v>0</v>
      </c>
      <c r="S6" s="159">
        <v>0</v>
      </c>
      <c r="T6" s="159">
        <v>0</v>
      </c>
      <c r="U6" s="159">
        <v>0</v>
      </c>
      <c r="V6" s="159">
        <v>0</v>
      </c>
      <c r="W6" s="159">
        <v>0</v>
      </c>
      <c r="X6" s="161">
        <v>86</v>
      </c>
      <c r="Y6" s="167">
        <v>24</v>
      </c>
      <c r="Z6" s="167">
        <v>24</v>
      </c>
      <c r="AA6" s="167">
        <v>24</v>
      </c>
      <c r="AB6" s="161">
        <v>86</v>
      </c>
      <c r="AC6" s="167">
        <v>24</v>
      </c>
      <c r="AD6" s="167">
        <v>24</v>
      </c>
      <c r="AE6" s="167">
        <v>24</v>
      </c>
      <c r="AF6" s="161">
        <v>86</v>
      </c>
      <c r="AG6" s="162">
        <v>86</v>
      </c>
      <c r="AH6" s="161">
        <v>86</v>
      </c>
      <c r="AI6" s="169">
        <v>40</v>
      </c>
      <c r="AJ6" s="169">
        <v>40</v>
      </c>
      <c r="AK6" s="166">
        <v>69</v>
      </c>
      <c r="AL6" s="161">
        <v>86</v>
      </c>
      <c r="AM6" s="171">
        <v>0</v>
      </c>
      <c r="AN6" s="166">
        <v>69</v>
      </c>
      <c r="AO6" s="161">
        <v>86</v>
      </c>
      <c r="AP6" s="159">
        <v>0</v>
      </c>
      <c r="AQ6" s="159">
        <v>0</v>
      </c>
      <c r="AR6" s="159">
        <v>0</v>
      </c>
      <c r="AS6" s="159">
        <v>0</v>
      </c>
      <c r="AT6" s="159">
        <v>0</v>
      </c>
      <c r="AU6" s="159">
        <v>0</v>
      </c>
      <c r="AV6" s="159">
        <v>0</v>
      </c>
      <c r="AW6" s="159">
        <v>0</v>
      </c>
      <c r="AX6" s="164">
        <v>0</v>
      </c>
      <c r="AY6" s="159">
        <v>0</v>
      </c>
      <c r="AZ6" s="159">
        <v>0</v>
      </c>
      <c r="BA6" s="159">
        <v>0</v>
      </c>
      <c r="BB6" s="159">
        <v>0</v>
      </c>
      <c r="BC6" s="159">
        <v>0</v>
      </c>
      <c r="BD6" s="159">
        <v>0</v>
      </c>
      <c r="BE6" s="159">
        <v>0</v>
      </c>
      <c r="BF6" s="159">
        <v>0</v>
      </c>
      <c r="BG6" s="159">
        <v>0</v>
      </c>
      <c r="BH6" s="159">
        <v>0</v>
      </c>
      <c r="BI6" s="159">
        <v>0</v>
      </c>
      <c r="BJ6" s="159">
        <v>0</v>
      </c>
      <c r="BK6" s="159">
        <v>0</v>
      </c>
      <c r="BL6" s="159">
        <v>0</v>
      </c>
      <c r="BM6" s="160">
        <v>0</v>
      </c>
      <c r="BN6" s="159">
        <v>0</v>
      </c>
      <c r="BO6" s="159">
        <v>0</v>
      </c>
      <c r="BP6" s="159">
        <v>0</v>
      </c>
      <c r="BQ6" s="159">
        <v>0</v>
      </c>
      <c r="BR6" s="197">
        <v>111</v>
      </c>
      <c r="BS6" s="169">
        <v>40</v>
      </c>
      <c r="BT6" s="166">
        <v>69</v>
      </c>
      <c r="BU6" s="166">
        <v>69</v>
      </c>
      <c r="BV6" s="159">
        <v>0</v>
      </c>
      <c r="BW6" s="242">
        <v>87</v>
      </c>
      <c r="BX6" s="167">
        <v>24</v>
      </c>
      <c r="BY6" s="169">
        <v>40</v>
      </c>
      <c r="BZ6" s="188">
        <v>31</v>
      </c>
      <c r="CA6" s="169">
        <v>40</v>
      </c>
      <c r="CB6" s="166">
        <v>69</v>
      </c>
      <c r="CC6" s="242">
        <v>87</v>
      </c>
      <c r="CD6" s="242">
        <v>87</v>
      </c>
      <c r="CE6" s="243">
        <v>69</v>
      </c>
      <c r="CF6" s="171">
        <v>0</v>
      </c>
      <c r="CG6" s="10">
        <v>110</v>
      </c>
      <c r="CH6" s="242">
        <v>87</v>
      </c>
      <c r="CI6" s="242">
        <v>87</v>
      </c>
      <c r="CJ6" s="242">
        <v>87</v>
      </c>
      <c r="CK6" s="242">
        <v>87</v>
      </c>
      <c r="CL6" s="10">
        <v>110</v>
      </c>
      <c r="CM6" s="242">
        <v>87</v>
      </c>
      <c r="CN6" s="25">
        <v>71</v>
      </c>
      <c r="CO6" s="180">
        <v>34</v>
      </c>
      <c r="CP6" s="159">
        <v>0</v>
      </c>
      <c r="CQ6" s="159">
        <v>0</v>
      </c>
      <c r="CR6" s="180">
        <v>34</v>
      </c>
      <c r="CS6" s="160">
        <v>0</v>
      </c>
      <c r="CT6" s="159">
        <v>0</v>
      </c>
      <c r="CU6" s="180">
        <v>34</v>
      </c>
      <c r="CV6" s="159">
        <v>0</v>
      </c>
      <c r="CW6" s="180">
        <v>34</v>
      </c>
      <c r="CX6" s="159">
        <v>0</v>
      </c>
      <c r="CY6" s="159">
        <v>0</v>
      </c>
      <c r="CZ6" s="180">
        <v>34</v>
      </c>
      <c r="DA6" s="159">
        <v>0</v>
      </c>
      <c r="DB6" s="159">
        <v>0</v>
      </c>
      <c r="DC6" s="159">
        <v>0</v>
      </c>
      <c r="DD6" s="159">
        <v>0</v>
      </c>
      <c r="DE6" s="159">
        <v>0</v>
      </c>
      <c r="DF6" s="159">
        <v>0</v>
      </c>
      <c r="DG6" s="159">
        <v>0</v>
      </c>
      <c r="DH6" s="159">
        <v>0</v>
      </c>
      <c r="DI6" s="160">
        <v>0</v>
      </c>
      <c r="DJ6" s="159">
        <v>0</v>
      </c>
      <c r="DK6" s="159">
        <v>0</v>
      </c>
      <c r="DL6" s="180">
        <v>34</v>
      </c>
      <c r="DM6" s="159">
        <v>0</v>
      </c>
      <c r="DN6" s="159">
        <v>0</v>
      </c>
      <c r="DO6" s="180">
        <v>34</v>
      </c>
      <c r="DP6" s="159">
        <v>0</v>
      </c>
      <c r="DQ6" s="180">
        <v>34</v>
      </c>
      <c r="DR6" s="159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9">
        <v>0</v>
      </c>
      <c r="DY6" s="159">
        <v>0</v>
      </c>
      <c r="DZ6" s="161">
        <v>78</v>
      </c>
      <c r="EA6" s="174">
        <v>35</v>
      </c>
      <c r="EB6" s="171">
        <v>0</v>
      </c>
      <c r="EC6" s="198">
        <v>36</v>
      </c>
      <c r="ED6" s="171">
        <v>0</v>
      </c>
      <c r="EE6" s="178">
        <v>108</v>
      </c>
      <c r="EF6" s="171">
        <v>0</v>
      </c>
      <c r="EG6" s="176">
        <v>113</v>
      </c>
      <c r="EH6" s="169">
        <v>40</v>
      </c>
      <c r="EI6" s="169">
        <v>40</v>
      </c>
      <c r="EJ6" s="178">
        <v>108</v>
      </c>
      <c r="EK6" s="174">
        <v>35</v>
      </c>
      <c r="EL6" s="171">
        <v>0</v>
      </c>
      <c r="EM6" s="171">
        <v>0</v>
      </c>
      <c r="EN6" s="179">
        <v>25</v>
      </c>
      <c r="EO6" s="175">
        <v>0</v>
      </c>
      <c r="EP6" s="171">
        <v>0</v>
      </c>
      <c r="EQ6" s="171">
        <v>0</v>
      </c>
      <c r="ER6" s="166">
        <v>69</v>
      </c>
      <c r="ES6" s="171">
        <v>0</v>
      </c>
      <c r="ET6" s="171">
        <v>0</v>
      </c>
      <c r="EU6" s="171">
        <v>0</v>
      </c>
      <c r="EV6" s="178">
        <v>108</v>
      </c>
      <c r="EW6" s="179">
        <v>25</v>
      </c>
      <c r="EX6" s="178">
        <v>108</v>
      </c>
      <c r="EY6" s="171">
        <v>0</v>
      </c>
      <c r="EZ6" s="161">
        <v>80</v>
      </c>
      <c r="FA6" s="171">
        <v>0</v>
      </c>
      <c r="FB6" s="171">
        <v>0</v>
      </c>
      <c r="FC6" s="171">
        <v>0</v>
      </c>
      <c r="FD6" s="171">
        <v>0</v>
      </c>
      <c r="FE6" s="162">
        <v>78</v>
      </c>
      <c r="FF6" s="151">
        <v>85</v>
      </c>
      <c r="FG6" s="171">
        <v>0</v>
      </c>
      <c r="FH6" s="166">
        <v>69</v>
      </c>
      <c r="FI6" s="171">
        <v>0</v>
      </c>
      <c r="FJ6" s="171">
        <v>0</v>
      </c>
      <c r="FK6" s="171">
        <v>0</v>
      </c>
      <c r="FL6" s="171">
        <v>0</v>
      </c>
      <c r="FM6" s="179">
        <v>25</v>
      </c>
      <c r="FN6" s="171">
        <v>0</v>
      </c>
      <c r="FO6" s="171">
        <v>0</v>
      </c>
      <c r="FP6" s="171">
        <v>0</v>
      </c>
      <c r="FQ6" s="171">
        <v>0</v>
      </c>
      <c r="FR6" s="169">
        <v>40</v>
      </c>
      <c r="FS6" s="169">
        <v>40</v>
      </c>
      <c r="FT6" s="171">
        <v>0</v>
      </c>
      <c r="FU6" s="171">
        <v>0</v>
      </c>
      <c r="FV6" s="177">
        <v>0</v>
      </c>
      <c r="FW6" s="171">
        <v>0</v>
      </c>
      <c r="FX6" s="171">
        <v>0</v>
      </c>
      <c r="FY6" s="169">
        <v>40</v>
      </c>
      <c r="FZ6" s="169">
        <v>40</v>
      </c>
      <c r="GA6" s="199">
        <v>37</v>
      </c>
      <c r="GB6" s="169">
        <v>40</v>
      </c>
      <c r="GC6" s="171">
        <v>0</v>
      </c>
      <c r="GD6" s="171">
        <v>0</v>
      </c>
      <c r="GE6" s="183">
        <v>42</v>
      </c>
      <c r="GF6" s="171">
        <v>0</v>
      </c>
      <c r="GG6" s="171">
        <v>0</v>
      </c>
      <c r="GH6" s="171">
        <v>0</v>
      </c>
      <c r="GI6" s="173">
        <v>35</v>
      </c>
      <c r="GJ6" s="171">
        <v>0</v>
      </c>
      <c r="GK6" s="175">
        <v>0</v>
      </c>
      <c r="GL6" s="171">
        <v>0</v>
      </c>
      <c r="GM6" s="171">
        <v>0</v>
      </c>
      <c r="GN6" s="171">
        <v>0</v>
      </c>
      <c r="GO6" s="179">
        <v>25</v>
      </c>
      <c r="GP6" s="171">
        <v>0</v>
      </c>
      <c r="GQ6" s="171">
        <v>0</v>
      </c>
      <c r="GR6" s="166">
        <v>69</v>
      </c>
      <c r="GS6" s="169">
        <v>40</v>
      </c>
      <c r="GT6" s="166">
        <v>69</v>
      </c>
      <c r="GU6" s="166">
        <v>69</v>
      </c>
      <c r="GV6" s="166">
        <v>69</v>
      </c>
      <c r="GW6" s="169">
        <v>40</v>
      </c>
      <c r="GX6" s="166">
        <v>69</v>
      </c>
      <c r="GY6" s="166">
        <v>69</v>
      </c>
      <c r="GZ6" s="169">
        <v>40</v>
      </c>
      <c r="HA6" s="166">
        <v>69</v>
      </c>
      <c r="HB6" s="243">
        <v>69</v>
      </c>
      <c r="HC6" s="169">
        <v>40</v>
      </c>
      <c r="HD6" s="169">
        <v>40</v>
      </c>
      <c r="HE6" s="169">
        <v>40</v>
      </c>
      <c r="HF6" s="190">
        <v>69</v>
      </c>
      <c r="HG6" s="169">
        <v>40</v>
      </c>
      <c r="HH6" s="169">
        <v>40</v>
      </c>
      <c r="HI6" s="169">
        <v>40</v>
      </c>
      <c r="HJ6" s="190">
        <v>69</v>
      </c>
      <c r="HK6" s="239">
        <v>85</v>
      </c>
      <c r="HL6" s="240">
        <v>85</v>
      </c>
      <c r="HM6" s="151">
        <v>85</v>
      </c>
      <c r="HN6" s="151">
        <v>85</v>
      </c>
      <c r="HO6" s="151">
        <v>85</v>
      </c>
      <c r="HP6" s="151">
        <v>85</v>
      </c>
      <c r="HQ6" s="151">
        <v>85</v>
      </c>
      <c r="HR6" s="242">
        <v>85</v>
      </c>
      <c r="HS6" s="151">
        <v>85</v>
      </c>
      <c r="HT6" s="151">
        <v>85</v>
      </c>
      <c r="HU6" s="151">
        <v>85</v>
      </c>
      <c r="HV6" s="151">
        <v>85</v>
      </c>
      <c r="HW6" s="151">
        <v>85</v>
      </c>
      <c r="HX6" s="151">
        <v>85</v>
      </c>
      <c r="HY6" s="151">
        <v>85</v>
      </c>
      <c r="HZ6" s="151">
        <v>85</v>
      </c>
      <c r="IA6" s="151">
        <v>85</v>
      </c>
      <c r="IB6" s="151">
        <v>85</v>
      </c>
      <c r="IC6" s="151">
        <v>85</v>
      </c>
      <c r="ID6" s="151">
        <v>85</v>
      </c>
      <c r="IE6" s="151">
        <v>85</v>
      </c>
      <c r="IF6" s="151">
        <v>85</v>
      </c>
      <c r="IG6" s="151">
        <v>85</v>
      </c>
      <c r="IH6" s="242">
        <v>85</v>
      </c>
      <c r="II6" s="151">
        <v>85</v>
      </c>
      <c r="IJ6" s="151">
        <v>85</v>
      </c>
      <c r="IK6" s="151">
        <v>85</v>
      </c>
      <c r="IL6" s="151">
        <v>85</v>
      </c>
      <c r="IM6" s="151">
        <v>85</v>
      </c>
      <c r="IN6" s="151">
        <v>85</v>
      </c>
      <c r="IO6" s="151">
        <v>85</v>
      </c>
      <c r="IP6" s="151">
        <v>85</v>
      </c>
      <c r="IQ6" s="151">
        <v>85</v>
      </c>
      <c r="IR6" s="151">
        <v>85</v>
      </c>
      <c r="IS6" s="151">
        <v>85</v>
      </c>
      <c r="IT6" s="151">
        <v>85</v>
      </c>
      <c r="IU6" s="151">
        <v>85</v>
      </c>
      <c r="IV6" s="151">
        <v>85</v>
      </c>
      <c r="IW6" s="151">
        <v>85</v>
      </c>
    </row>
    <row r="7" spans="1:257" s="152" customFormat="1" ht="20" hidden="1" customHeight="1" x14ac:dyDescent="0.15">
      <c r="A7" s="153">
        <v>5</v>
      </c>
      <c r="B7" s="180">
        <v>34</v>
      </c>
      <c r="C7" s="180">
        <v>34</v>
      </c>
      <c r="D7" s="180">
        <v>34</v>
      </c>
      <c r="E7" s="180">
        <v>34</v>
      </c>
      <c r="F7" s="180">
        <v>34</v>
      </c>
      <c r="G7" s="159">
        <v>0</v>
      </c>
      <c r="H7" s="200">
        <v>90</v>
      </c>
      <c r="I7" s="159">
        <v>0</v>
      </c>
      <c r="J7" s="180">
        <v>34</v>
      </c>
      <c r="K7" s="180">
        <v>34</v>
      </c>
      <c r="L7" s="180">
        <v>34</v>
      </c>
      <c r="M7" s="180">
        <v>34</v>
      </c>
      <c r="N7" s="159">
        <v>0</v>
      </c>
      <c r="O7" s="159">
        <v>0</v>
      </c>
      <c r="P7" s="178">
        <v>108</v>
      </c>
      <c r="Q7" s="160">
        <v>0</v>
      </c>
      <c r="R7" s="159">
        <v>0</v>
      </c>
      <c r="S7" s="159">
        <v>0</v>
      </c>
      <c r="T7" s="159">
        <v>0</v>
      </c>
      <c r="U7" s="161">
        <v>80</v>
      </c>
      <c r="V7" s="159">
        <v>0</v>
      </c>
      <c r="W7" s="159">
        <v>0</v>
      </c>
      <c r="X7" s="161">
        <v>86</v>
      </c>
      <c r="Y7" s="167">
        <v>24</v>
      </c>
      <c r="Z7" s="167">
        <v>24</v>
      </c>
      <c r="AA7" s="161">
        <v>81</v>
      </c>
      <c r="AB7" s="161">
        <v>83</v>
      </c>
      <c r="AC7" s="167">
        <v>24</v>
      </c>
      <c r="AD7" s="196">
        <v>122</v>
      </c>
      <c r="AE7" s="167">
        <v>24</v>
      </c>
      <c r="AF7" s="167">
        <v>24</v>
      </c>
      <c r="AG7" s="162">
        <v>86</v>
      </c>
      <c r="AH7" s="161">
        <v>86</v>
      </c>
      <c r="AI7" s="161">
        <v>86</v>
      </c>
      <c r="AJ7" s="161">
        <v>86</v>
      </c>
      <c r="AK7" s="161">
        <v>86</v>
      </c>
      <c r="AL7" s="161">
        <v>86</v>
      </c>
      <c r="AM7" s="166">
        <v>69</v>
      </c>
      <c r="AN7" s="161">
        <v>86</v>
      </c>
      <c r="AO7" s="161">
        <v>86</v>
      </c>
      <c r="AP7" s="201">
        <v>48</v>
      </c>
      <c r="AQ7" s="201">
        <v>48</v>
      </c>
      <c r="AR7" s="201">
        <v>48</v>
      </c>
      <c r="AS7" s="201">
        <v>48</v>
      </c>
      <c r="AT7" s="201">
        <v>48</v>
      </c>
      <c r="AU7" s="201">
        <v>48</v>
      </c>
      <c r="AV7" s="201">
        <v>48</v>
      </c>
      <c r="AW7" s="201">
        <v>48</v>
      </c>
      <c r="AX7" s="202">
        <v>48</v>
      </c>
      <c r="AY7" s="201">
        <v>48</v>
      </c>
      <c r="AZ7" s="201">
        <v>48</v>
      </c>
      <c r="BA7" s="201">
        <v>48</v>
      </c>
      <c r="BB7" s="201">
        <v>48</v>
      </c>
      <c r="BC7" s="201">
        <v>48</v>
      </c>
      <c r="BD7" s="201">
        <v>48</v>
      </c>
      <c r="BE7" s="201">
        <v>48</v>
      </c>
      <c r="BF7" s="201">
        <v>48</v>
      </c>
      <c r="BG7" s="201">
        <v>48</v>
      </c>
      <c r="BH7" s="201">
        <v>48</v>
      </c>
      <c r="BI7" s="201">
        <v>48</v>
      </c>
      <c r="BJ7" s="201">
        <v>48</v>
      </c>
      <c r="BK7" s="201">
        <v>48</v>
      </c>
      <c r="BL7" s="201">
        <v>48</v>
      </c>
      <c r="BM7" s="203">
        <v>48</v>
      </c>
      <c r="BN7" s="201">
        <v>48</v>
      </c>
      <c r="BO7" s="201">
        <v>48</v>
      </c>
      <c r="BP7" s="201">
        <v>48</v>
      </c>
      <c r="BQ7" s="201">
        <v>48</v>
      </c>
      <c r="BR7" s="242">
        <v>87</v>
      </c>
      <c r="BS7" s="201">
        <v>48</v>
      </c>
      <c r="BT7" s="166">
        <v>69</v>
      </c>
      <c r="BU7" s="166">
        <v>69</v>
      </c>
      <c r="BV7" s="201">
        <v>48</v>
      </c>
      <c r="BW7" s="242">
        <v>87</v>
      </c>
      <c r="BX7" s="151">
        <v>85</v>
      </c>
      <c r="BY7" s="151">
        <v>85</v>
      </c>
      <c r="BZ7" s="151">
        <v>85</v>
      </c>
      <c r="CA7" s="151">
        <v>85</v>
      </c>
      <c r="CB7" s="151">
        <v>85</v>
      </c>
      <c r="CC7" s="242">
        <v>87</v>
      </c>
      <c r="CD7" s="242">
        <v>87</v>
      </c>
      <c r="CE7" s="243">
        <v>69</v>
      </c>
      <c r="CF7" s="242">
        <v>87</v>
      </c>
      <c r="CG7" s="171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42">
        <v>87</v>
      </c>
      <c r="CN7" s="25">
        <v>71</v>
      </c>
      <c r="CO7" s="180">
        <v>34</v>
      </c>
      <c r="CP7" s="159">
        <v>0</v>
      </c>
      <c r="CQ7" s="196">
        <v>122</v>
      </c>
      <c r="CR7" s="180">
        <v>34</v>
      </c>
      <c r="CS7" s="160">
        <v>0</v>
      </c>
      <c r="CT7" s="159">
        <v>0</v>
      </c>
      <c r="CU7" s="180">
        <v>34</v>
      </c>
      <c r="CV7" s="159">
        <v>0</v>
      </c>
      <c r="CW7" s="180">
        <v>34</v>
      </c>
      <c r="CX7" s="159">
        <v>0</v>
      </c>
      <c r="CY7" s="159">
        <v>0</v>
      </c>
      <c r="CZ7" s="180">
        <v>34</v>
      </c>
      <c r="DA7" s="159">
        <v>0</v>
      </c>
      <c r="DB7" s="53">
        <v>123</v>
      </c>
      <c r="DC7" s="159">
        <v>0</v>
      </c>
      <c r="DD7" s="233">
        <v>59</v>
      </c>
      <c r="DE7" s="159">
        <v>0</v>
      </c>
      <c r="DF7" s="159">
        <v>0</v>
      </c>
      <c r="DG7" s="159">
        <v>0</v>
      </c>
      <c r="DH7" s="159">
        <v>0</v>
      </c>
      <c r="DI7" s="160">
        <v>0</v>
      </c>
      <c r="DJ7" s="159">
        <v>0</v>
      </c>
      <c r="DK7" s="159">
        <v>0</v>
      </c>
      <c r="DL7" s="180">
        <v>34</v>
      </c>
      <c r="DM7" s="159">
        <v>0</v>
      </c>
      <c r="DN7" s="159">
        <v>0</v>
      </c>
      <c r="DO7" s="180">
        <v>34</v>
      </c>
      <c r="DP7" s="159">
        <v>0</v>
      </c>
      <c r="DQ7" s="180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9">
        <v>0</v>
      </c>
      <c r="DZ7" s="161">
        <v>78</v>
      </c>
      <c r="EA7" s="179">
        <v>25</v>
      </c>
      <c r="EB7" s="171">
        <v>0</v>
      </c>
      <c r="EC7" s="204">
        <v>58</v>
      </c>
      <c r="ED7" s="171">
        <v>0</v>
      </c>
      <c r="EE7" s="171">
        <v>0</v>
      </c>
      <c r="EF7" s="169">
        <v>40</v>
      </c>
      <c r="EG7" s="171">
        <v>0</v>
      </c>
      <c r="EH7" s="204">
        <v>58</v>
      </c>
      <c r="EI7" s="204">
        <v>58</v>
      </c>
      <c r="EJ7" s="171">
        <v>0</v>
      </c>
      <c r="EK7" s="171">
        <v>0</v>
      </c>
      <c r="EL7" s="169">
        <v>40</v>
      </c>
      <c r="EM7" s="171">
        <v>0</v>
      </c>
      <c r="EN7" s="169">
        <v>40</v>
      </c>
      <c r="EO7" s="205">
        <v>25</v>
      </c>
      <c r="EP7" s="171">
        <v>0</v>
      </c>
      <c r="EQ7" s="171">
        <v>0</v>
      </c>
      <c r="ER7" s="166">
        <v>69</v>
      </c>
      <c r="ES7" s="171">
        <v>0</v>
      </c>
      <c r="ET7" s="179">
        <v>25</v>
      </c>
      <c r="EU7" s="171">
        <v>0</v>
      </c>
      <c r="EV7" s="169">
        <v>40</v>
      </c>
      <c r="EW7" s="171">
        <v>0</v>
      </c>
      <c r="EX7" s="169">
        <v>40</v>
      </c>
      <c r="EY7" s="171">
        <v>0</v>
      </c>
      <c r="EZ7" s="171">
        <v>0</v>
      </c>
      <c r="FA7" s="171">
        <v>0</v>
      </c>
      <c r="FB7" s="169">
        <v>40</v>
      </c>
      <c r="FC7" s="171">
        <v>0</v>
      </c>
      <c r="FD7" s="171">
        <v>0</v>
      </c>
      <c r="FE7" s="162">
        <v>78</v>
      </c>
      <c r="FF7" s="151">
        <v>85</v>
      </c>
      <c r="FG7" s="171">
        <v>0</v>
      </c>
      <c r="FH7" s="166">
        <v>69</v>
      </c>
      <c r="FI7" s="171">
        <v>0</v>
      </c>
      <c r="FJ7" s="171">
        <v>0</v>
      </c>
      <c r="FK7" s="169">
        <v>40</v>
      </c>
      <c r="FL7" s="171">
        <v>0</v>
      </c>
      <c r="FM7" s="171">
        <v>0</v>
      </c>
      <c r="FN7" s="169">
        <v>40</v>
      </c>
      <c r="FO7" s="169">
        <v>40</v>
      </c>
      <c r="FP7" s="171">
        <v>0</v>
      </c>
      <c r="FQ7" s="171">
        <v>0</v>
      </c>
      <c r="FR7" s="233">
        <v>59</v>
      </c>
      <c r="FS7" s="233">
        <v>59</v>
      </c>
      <c r="FT7" s="171">
        <v>0</v>
      </c>
      <c r="FU7" s="171">
        <v>0</v>
      </c>
      <c r="FV7" s="185">
        <v>40</v>
      </c>
      <c r="FW7" s="171">
        <v>0</v>
      </c>
      <c r="FX7" s="171">
        <v>0</v>
      </c>
      <c r="FY7" s="233">
        <v>59</v>
      </c>
      <c r="FZ7" s="233">
        <v>59</v>
      </c>
      <c r="GA7" s="233">
        <v>59</v>
      </c>
      <c r="GB7" s="233">
        <v>59</v>
      </c>
      <c r="GC7" s="171">
        <v>0</v>
      </c>
      <c r="GD7" s="171">
        <v>0</v>
      </c>
      <c r="GE7" s="233">
        <v>59</v>
      </c>
      <c r="GF7" s="171">
        <v>0</v>
      </c>
      <c r="GG7" s="169">
        <v>40</v>
      </c>
      <c r="GH7" s="171">
        <v>0</v>
      </c>
      <c r="GI7" s="171">
        <v>0</v>
      </c>
      <c r="GJ7" s="179">
        <v>25</v>
      </c>
      <c r="GK7" s="175">
        <v>0</v>
      </c>
      <c r="GL7" s="171">
        <v>0</v>
      </c>
      <c r="GM7" s="171">
        <v>0</v>
      </c>
      <c r="GN7" s="171">
        <v>0</v>
      </c>
      <c r="GO7" s="171">
        <v>0</v>
      </c>
      <c r="GP7" s="179">
        <v>25</v>
      </c>
      <c r="GQ7" s="171">
        <v>0</v>
      </c>
      <c r="GR7" s="166">
        <v>69</v>
      </c>
      <c r="GS7" s="166">
        <v>69</v>
      </c>
      <c r="GT7" s="169">
        <v>40</v>
      </c>
      <c r="GU7" s="169">
        <v>40</v>
      </c>
      <c r="GV7" s="166">
        <v>69</v>
      </c>
      <c r="GW7" s="166">
        <v>69</v>
      </c>
      <c r="GX7" s="169">
        <v>40</v>
      </c>
      <c r="GY7" s="169">
        <v>40</v>
      </c>
      <c r="GZ7" s="166">
        <v>69</v>
      </c>
      <c r="HA7" s="151">
        <v>87</v>
      </c>
      <c r="HB7" s="242">
        <v>87</v>
      </c>
      <c r="HC7" s="169">
        <v>40</v>
      </c>
      <c r="HD7" s="166">
        <v>69</v>
      </c>
      <c r="HE7" s="169">
        <v>40</v>
      </c>
      <c r="HF7" s="190">
        <v>69</v>
      </c>
      <c r="HG7" s="169">
        <v>40</v>
      </c>
      <c r="HH7" s="166">
        <v>69</v>
      </c>
      <c r="HI7" s="169">
        <v>40</v>
      </c>
      <c r="HJ7" s="190">
        <v>69</v>
      </c>
      <c r="HK7" s="238">
        <v>69</v>
      </c>
      <c r="HL7" s="208">
        <v>0</v>
      </c>
      <c r="HM7" s="171">
        <v>0</v>
      </c>
      <c r="HN7" s="171">
        <v>0</v>
      </c>
      <c r="HO7" s="171">
        <v>0</v>
      </c>
      <c r="HP7" s="171">
        <v>0</v>
      </c>
      <c r="HQ7" s="175">
        <v>0</v>
      </c>
      <c r="HR7" s="171">
        <v>0</v>
      </c>
      <c r="HS7" s="171">
        <v>0</v>
      </c>
      <c r="HT7" s="173">
        <v>35</v>
      </c>
      <c r="HU7" s="171">
        <v>0</v>
      </c>
      <c r="HV7" s="171">
        <v>0</v>
      </c>
      <c r="HW7" s="171">
        <v>0</v>
      </c>
      <c r="HX7" s="173">
        <v>35</v>
      </c>
      <c r="HY7" s="171">
        <v>0</v>
      </c>
      <c r="HZ7" s="171">
        <v>0</v>
      </c>
      <c r="IA7" s="173">
        <v>35</v>
      </c>
      <c r="IB7" s="171">
        <v>0</v>
      </c>
      <c r="IC7" s="171">
        <v>0</v>
      </c>
      <c r="ID7" s="173">
        <v>35</v>
      </c>
      <c r="IE7" s="171">
        <v>0</v>
      </c>
      <c r="IF7" s="171">
        <v>0</v>
      </c>
      <c r="IG7" s="175">
        <v>0</v>
      </c>
      <c r="IH7" s="171">
        <v>0</v>
      </c>
      <c r="II7" s="53">
        <v>123</v>
      </c>
      <c r="IJ7" s="171">
        <v>0</v>
      </c>
      <c r="IK7" s="171">
        <v>0</v>
      </c>
      <c r="IL7" s="171">
        <v>0</v>
      </c>
      <c r="IM7" s="171">
        <v>0</v>
      </c>
      <c r="IN7" s="206">
        <v>35</v>
      </c>
      <c r="IO7" s="171">
        <v>0</v>
      </c>
      <c r="IP7" s="171">
        <v>0</v>
      </c>
      <c r="IQ7" s="206">
        <v>35</v>
      </c>
      <c r="IR7" s="173">
        <v>27</v>
      </c>
      <c r="IS7" s="151">
        <v>87</v>
      </c>
      <c r="IT7" s="167">
        <v>24</v>
      </c>
      <c r="IU7" s="167">
        <v>24</v>
      </c>
      <c r="IV7" s="167">
        <v>24</v>
      </c>
      <c r="IW7" s="151">
        <v>87</v>
      </c>
    </row>
    <row r="8" spans="1:257" s="152" customFormat="1" ht="20" hidden="1" customHeight="1" x14ac:dyDescent="0.15">
      <c r="A8" s="153">
        <v>6</v>
      </c>
      <c r="B8" s="180">
        <v>34</v>
      </c>
      <c r="C8" s="180">
        <v>34</v>
      </c>
      <c r="D8" s="180">
        <v>34</v>
      </c>
      <c r="E8" s="180">
        <v>34</v>
      </c>
      <c r="F8" s="180">
        <v>34</v>
      </c>
      <c r="G8" s="178">
        <v>108</v>
      </c>
      <c r="H8" s="159">
        <v>0</v>
      </c>
      <c r="I8" s="178">
        <v>108</v>
      </c>
      <c r="J8" s="180">
        <v>34</v>
      </c>
      <c r="K8" s="180">
        <v>34</v>
      </c>
      <c r="L8" s="180">
        <v>34</v>
      </c>
      <c r="M8" s="180">
        <v>34</v>
      </c>
      <c r="N8" s="159">
        <v>0</v>
      </c>
      <c r="O8" s="159">
        <v>0</v>
      </c>
      <c r="P8" s="159">
        <v>0</v>
      </c>
      <c r="Q8" s="160">
        <v>0</v>
      </c>
      <c r="R8" s="159">
        <v>0</v>
      </c>
      <c r="S8" s="159">
        <v>0</v>
      </c>
      <c r="T8" s="159">
        <v>0</v>
      </c>
      <c r="U8" s="159">
        <v>0</v>
      </c>
      <c r="V8" s="159">
        <v>0</v>
      </c>
      <c r="W8" s="161">
        <v>80</v>
      </c>
      <c r="X8" s="161">
        <v>86</v>
      </c>
      <c r="Y8" s="167">
        <v>24</v>
      </c>
      <c r="Z8" s="161">
        <v>81</v>
      </c>
      <c r="AA8" s="161">
        <v>82</v>
      </c>
      <c r="AB8" s="161">
        <v>83</v>
      </c>
      <c r="AC8" s="167">
        <v>24</v>
      </c>
      <c r="AD8" s="200">
        <v>90</v>
      </c>
      <c r="AE8" s="167">
        <v>24</v>
      </c>
      <c r="AF8" s="167">
        <v>24</v>
      </c>
      <c r="AG8" s="207">
        <v>72</v>
      </c>
      <c r="AH8" s="171">
        <v>0</v>
      </c>
      <c r="AI8" s="171">
        <v>0</v>
      </c>
      <c r="AJ8" s="171">
        <v>0</v>
      </c>
      <c r="AK8" s="27">
        <v>96</v>
      </c>
      <c r="AL8" s="171">
        <v>0</v>
      </c>
      <c r="AM8" s="166">
        <v>69</v>
      </c>
      <c r="AN8" s="161">
        <v>86</v>
      </c>
      <c r="AO8" s="161">
        <v>86</v>
      </c>
      <c r="AP8" s="201">
        <v>49</v>
      </c>
      <c r="AQ8" s="201">
        <v>49</v>
      </c>
      <c r="AR8" s="201">
        <v>49</v>
      </c>
      <c r="AS8" s="201">
        <v>49</v>
      </c>
      <c r="AT8" s="201">
        <v>49</v>
      </c>
      <c r="AU8" s="201">
        <v>49</v>
      </c>
      <c r="AV8" s="201">
        <v>49</v>
      </c>
      <c r="AW8" s="201">
        <v>49</v>
      </c>
      <c r="AX8" s="202">
        <v>49</v>
      </c>
      <c r="AY8" s="201">
        <v>49</v>
      </c>
      <c r="AZ8" s="201">
        <v>49</v>
      </c>
      <c r="BA8" s="201">
        <v>49</v>
      </c>
      <c r="BB8" s="201">
        <v>49</v>
      </c>
      <c r="BC8" s="201">
        <v>49</v>
      </c>
      <c r="BD8" s="201">
        <v>49</v>
      </c>
      <c r="BE8" s="201">
        <v>49</v>
      </c>
      <c r="BF8" s="201">
        <v>49</v>
      </c>
      <c r="BG8" s="201">
        <v>49</v>
      </c>
      <c r="BH8" s="201">
        <v>49</v>
      </c>
      <c r="BI8" s="201">
        <v>49</v>
      </c>
      <c r="BJ8" s="201">
        <v>49</v>
      </c>
      <c r="BK8" s="201">
        <v>49</v>
      </c>
      <c r="BL8" s="201">
        <v>49</v>
      </c>
      <c r="BM8" s="203">
        <v>49</v>
      </c>
      <c r="BN8" s="201">
        <v>49</v>
      </c>
      <c r="BO8" s="201">
        <v>49</v>
      </c>
      <c r="BP8" s="201">
        <v>49</v>
      </c>
      <c r="BQ8" s="201">
        <v>49</v>
      </c>
      <c r="BR8" s="242">
        <v>87</v>
      </c>
      <c r="BS8" s="201">
        <v>49</v>
      </c>
      <c r="BT8" s="166">
        <v>69</v>
      </c>
      <c r="BU8" s="166">
        <v>69</v>
      </c>
      <c r="BV8" s="201">
        <v>48</v>
      </c>
      <c r="BW8" s="242">
        <v>87</v>
      </c>
      <c r="BX8" s="242">
        <v>87</v>
      </c>
      <c r="BY8" s="171">
        <v>0</v>
      </c>
      <c r="BZ8" s="242">
        <v>87</v>
      </c>
      <c r="CA8" s="171">
        <v>0</v>
      </c>
      <c r="CB8" s="171">
        <v>0</v>
      </c>
      <c r="CC8" s="242">
        <v>87</v>
      </c>
      <c r="CD8" s="242">
        <v>87</v>
      </c>
      <c r="CE8" s="243">
        <v>69</v>
      </c>
      <c r="CF8" s="242">
        <v>87</v>
      </c>
      <c r="CG8" s="166">
        <v>69</v>
      </c>
      <c r="CH8" s="166">
        <v>69</v>
      </c>
      <c r="CI8" s="166">
        <v>69</v>
      </c>
      <c r="CJ8" s="166">
        <v>69</v>
      </c>
      <c r="CK8" s="166">
        <v>69</v>
      </c>
      <c r="CL8" s="166">
        <v>69</v>
      </c>
      <c r="CM8" s="242">
        <v>87</v>
      </c>
      <c r="CN8" s="25">
        <v>71</v>
      </c>
      <c r="CO8" s="180">
        <v>34</v>
      </c>
      <c r="CP8" s="159">
        <v>0</v>
      </c>
      <c r="CQ8" s="200">
        <v>90</v>
      </c>
      <c r="CR8" s="180">
        <v>34</v>
      </c>
      <c r="CS8" s="160">
        <v>0</v>
      </c>
      <c r="CT8" s="159">
        <v>0</v>
      </c>
      <c r="CU8" s="180">
        <v>34</v>
      </c>
      <c r="CV8" s="159">
        <v>0</v>
      </c>
      <c r="CW8" s="180">
        <v>34</v>
      </c>
      <c r="CX8" s="159">
        <v>0</v>
      </c>
      <c r="CY8" s="159">
        <v>0</v>
      </c>
      <c r="CZ8" s="180">
        <v>34</v>
      </c>
      <c r="DA8" s="159">
        <v>0</v>
      </c>
      <c r="DB8" s="85">
        <v>90</v>
      </c>
      <c r="DC8" s="159">
        <v>0</v>
      </c>
      <c r="DD8" s="159">
        <v>0</v>
      </c>
      <c r="DE8" s="159">
        <v>0</v>
      </c>
      <c r="DF8" s="159">
        <v>0</v>
      </c>
      <c r="DG8" s="159">
        <v>0</v>
      </c>
      <c r="DH8" s="159">
        <v>0</v>
      </c>
      <c r="DI8" s="160">
        <v>0</v>
      </c>
      <c r="DJ8" s="159">
        <v>0</v>
      </c>
      <c r="DK8" s="159">
        <v>0</v>
      </c>
      <c r="DL8" s="180">
        <v>34</v>
      </c>
      <c r="DM8" s="159">
        <v>0</v>
      </c>
      <c r="DN8" s="159">
        <v>0</v>
      </c>
      <c r="DO8" s="180">
        <v>34</v>
      </c>
      <c r="DP8" s="159">
        <v>0</v>
      </c>
      <c r="DQ8" s="180">
        <v>34</v>
      </c>
      <c r="DR8" s="159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9">
        <v>0</v>
      </c>
      <c r="DY8" s="159">
        <v>0</v>
      </c>
      <c r="DZ8" s="161">
        <v>78</v>
      </c>
      <c r="EA8" s="204">
        <v>58</v>
      </c>
      <c r="EB8" s="171">
        <v>0</v>
      </c>
      <c r="EC8" s="171">
        <v>0</v>
      </c>
      <c r="ED8" s="171">
        <v>0</v>
      </c>
      <c r="EE8" s="171">
        <v>0</v>
      </c>
      <c r="EF8" s="204">
        <v>58</v>
      </c>
      <c r="EG8" s="171">
        <v>0</v>
      </c>
      <c r="EH8" s="171">
        <v>0</v>
      </c>
      <c r="EI8" s="171">
        <v>0</v>
      </c>
      <c r="EJ8" s="179">
        <v>25</v>
      </c>
      <c r="EK8" s="171">
        <v>0</v>
      </c>
      <c r="EL8" s="204">
        <v>58</v>
      </c>
      <c r="EM8" s="171">
        <v>0</v>
      </c>
      <c r="EN8" s="204">
        <v>58</v>
      </c>
      <c r="EO8" s="175">
        <v>0</v>
      </c>
      <c r="EP8" s="171">
        <v>0</v>
      </c>
      <c r="EQ8" s="171">
        <v>0</v>
      </c>
      <c r="ER8" s="166">
        <v>69</v>
      </c>
      <c r="ES8" s="171">
        <v>0</v>
      </c>
      <c r="ET8" s="171">
        <v>0</v>
      </c>
      <c r="EU8" s="171">
        <v>0</v>
      </c>
      <c r="EV8" s="192">
        <v>63</v>
      </c>
      <c r="EW8" s="171">
        <v>0</v>
      </c>
      <c r="EX8" s="192">
        <v>63</v>
      </c>
      <c r="EY8" s="171">
        <v>0</v>
      </c>
      <c r="EZ8" s="171">
        <v>0</v>
      </c>
      <c r="FA8" s="179">
        <v>25</v>
      </c>
      <c r="FB8" s="192">
        <v>63</v>
      </c>
      <c r="FC8" s="171">
        <v>0</v>
      </c>
      <c r="FD8" s="171">
        <v>0</v>
      </c>
      <c r="FE8" s="162">
        <v>78</v>
      </c>
      <c r="FF8" s="151">
        <v>85</v>
      </c>
      <c r="FG8" s="171">
        <v>0</v>
      </c>
      <c r="FH8" s="166">
        <v>69</v>
      </c>
      <c r="FI8" s="171">
        <v>0</v>
      </c>
      <c r="FJ8" s="171">
        <v>0</v>
      </c>
      <c r="FK8" s="233">
        <v>59</v>
      </c>
      <c r="FL8" s="171">
        <v>0</v>
      </c>
      <c r="FM8" s="171">
        <v>0</v>
      </c>
      <c r="FN8" s="233">
        <v>59</v>
      </c>
      <c r="FO8" s="233">
        <v>59</v>
      </c>
      <c r="FP8" s="171">
        <v>0</v>
      </c>
      <c r="FQ8" s="171">
        <v>0</v>
      </c>
      <c r="FR8" s="171">
        <v>0</v>
      </c>
      <c r="FS8" s="171">
        <v>0</v>
      </c>
      <c r="FT8" s="171">
        <v>0</v>
      </c>
      <c r="FU8" s="171">
        <v>0</v>
      </c>
      <c r="FV8" s="233">
        <v>59</v>
      </c>
      <c r="FW8" s="171">
        <v>0</v>
      </c>
      <c r="FX8" s="171">
        <v>0</v>
      </c>
      <c r="FY8" s="171">
        <v>0</v>
      </c>
      <c r="FZ8" s="171">
        <v>0</v>
      </c>
      <c r="GA8" s="171">
        <v>0</v>
      </c>
      <c r="GB8" s="171">
        <v>0</v>
      </c>
      <c r="GC8" s="171">
        <v>0</v>
      </c>
      <c r="GD8" s="171">
        <v>0</v>
      </c>
      <c r="GE8" s="171">
        <v>0</v>
      </c>
      <c r="GF8" s="171">
        <v>0</v>
      </c>
      <c r="GG8" s="233">
        <v>59</v>
      </c>
      <c r="GH8" s="171">
        <v>0</v>
      </c>
      <c r="GI8" s="171">
        <v>0</v>
      </c>
      <c r="GJ8" s="233">
        <v>59</v>
      </c>
      <c r="GK8" s="205">
        <v>25</v>
      </c>
      <c r="GL8" s="171">
        <v>0</v>
      </c>
      <c r="GM8" s="179">
        <v>25</v>
      </c>
      <c r="GN8" s="171">
        <v>0</v>
      </c>
      <c r="GO8" s="171">
        <v>0</v>
      </c>
      <c r="GP8" s="171">
        <v>0</v>
      </c>
      <c r="GQ8" s="171">
        <v>0</v>
      </c>
      <c r="GR8" s="171">
        <v>0</v>
      </c>
      <c r="GS8" s="166">
        <v>69</v>
      </c>
      <c r="GT8" s="166">
        <v>69</v>
      </c>
      <c r="GU8" s="166">
        <v>69</v>
      </c>
      <c r="GV8" s="166">
        <v>69</v>
      </c>
      <c r="GW8" s="166">
        <v>69</v>
      </c>
      <c r="GX8" s="166">
        <v>69</v>
      </c>
      <c r="GY8" s="166">
        <v>69</v>
      </c>
      <c r="GZ8" s="166">
        <v>69</v>
      </c>
      <c r="HA8" s="151">
        <v>87</v>
      </c>
      <c r="HB8" s="242">
        <v>87</v>
      </c>
      <c r="HC8" s="190">
        <v>69</v>
      </c>
      <c r="HD8" s="166">
        <v>69</v>
      </c>
      <c r="HE8" s="190">
        <v>69</v>
      </c>
      <c r="HF8" s="190">
        <v>69</v>
      </c>
      <c r="HG8" s="190">
        <v>69</v>
      </c>
      <c r="HH8" s="190">
        <v>69</v>
      </c>
      <c r="HI8" s="236">
        <v>69</v>
      </c>
      <c r="HJ8" s="190">
        <v>69</v>
      </c>
      <c r="HK8" s="208">
        <v>0</v>
      </c>
      <c r="HL8" s="173">
        <v>35</v>
      </c>
      <c r="HM8" s="171">
        <v>0</v>
      </c>
      <c r="HN8" s="171">
        <v>0</v>
      </c>
      <c r="HO8" s="173">
        <v>35</v>
      </c>
      <c r="HP8" s="179">
        <v>25</v>
      </c>
      <c r="HQ8" s="175">
        <v>0</v>
      </c>
      <c r="HR8" s="171">
        <v>0</v>
      </c>
      <c r="HS8" s="171">
        <v>0</v>
      </c>
      <c r="HT8" s="171">
        <v>0</v>
      </c>
      <c r="HU8" s="169">
        <v>40</v>
      </c>
      <c r="HV8" s="241">
        <v>119</v>
      </c>
      <c r="HW8" s="169">
        <v>40</v>
      </c>
      <c r="HX8" s="171">
        <v>0</v>
      </c>
      <c r="HY8" s="179">
        <v>25</v>
      </c>
      <c r="HZ8" s="171">
        <v>0</v>
      </c>
      <c r="IA8" s="171">
        <v>0</v>
      </c>
      <c r="IB8" s="169">
        <v>40</v>
      </c>
      <c r="IC8" s="169">
        <v>40</v>
      </c>
      <c r="ID8" s="171">
        <v>0</v>
      </c>
      <c r="IE8" s="171">
        <v>0</v>
      </c>
      <c r="IF8" s="171">
        <v>0</v>
      </c>
      <c r="IG8" s="205">
        <v>25</v>
      </c>
      <c r="IH8" s="171">
        <v>0</v>
      </c>
      <c r="II8" s="61">
        <v>90</v>
      </c>
      <c r="IJ8" s="179">
        <v>25</v>
      </c>
      <c r="IK8" s="171">
        <v>0</v>
      </c>
      <c r="IL8" s="171">
        <v>0</v>
      </c>
      <c r="IM8" s="171">
        <v>0</v>
      </c>
      <c r="IN8" s="208">
        <v>0</v>
      </c>
      <c r="IO8" s="169">
        <v>40</v>
      </c>
      <c r="IP8" s="169">
        <v>40</v>
      </c>
      <c r="IQ8" s="208">
        <v>0</v>
      </c>
      <c r="IR8" s="171">
        <v>0</v>
      </c>
      <c r="IS8" s="151">
        <v>87</v>
      </c>
      <c r="IT8" s="167">
        <v>24</v>
      </c>
      <c r="IU8" s="189">
        <v>26</v>
      </c>
      <c r="IV8" s="167">
        <v>24</v>
      </c>
      <c r="IW8" s="151">
        <v>87</v>
      </c>
    </row>
    <row r="9" spans="1:257" s="152" customFormat="1" ht="20" hidden="1" customHeight="1" x14ac:dyDescent="0.15">
      <c r="A9" s="153">
        <v>7</v>
      </c>
      <c r="B9" s="209">
        <v>33</v>
      </c>
      <c r="C9" s="209">
        <v>33</v>
      </c>
      <c r="D9" s="209">
        <v>33</v>
      </c>
      <c r="E9" s="209">
        <v>33</v>
      </c>
      <c r="F9" s="209">
        <v>33</v>
      </c>
      <c r="G9" s="169">
        <v>40</v>
      </c>
      <c r="H9" s="159">
        <v>0</v>
      </c>
      <c r="I9" s="169">
        <v>40</v>
      </c>
      <c r="J9" s="209">
        <v>33</v>
      </c>
      <c r="K9" s="209">
        <v>33</v>
      </c>
      <c r="L9" s="209">
        <v>33</v>
      </c>
      <c r="M9" s="209">
        <v>33</v>
      </c>
      <c r="N9" s="169">
        <v>40</v>
      </c>
      <c r="O9" s="169">
        <v>40</v>
      </c>
      <c r="P9" s="159">
        <v>0</v>
      </c>
      <c r="Q9" s="160">
        <v>0</v>
      </c>
      <c r="R9" s="210">
        <v>11</v>
      </c>
      <c r="S9" s="210">
        <v>12</v>
      </c>
      <c r="T9" s="159">
        <v>0</v>
      </c>
      <c r="U9" s="210">
        <v>11</v>
      </c>
      <c r="V9" s="210">
        <v>12</v>
      </c>
      <c r="W9" s="211">
        <v>30</v>
      </c>
      <c r="X9" s="161">
        <v>86</v>
      </c>
      <c r="Y9" s="161">
        <v>81</v>
      </c>
      <c r="Z9" s="161">
        <v>82</v>
      </c>
      <c r="AA9" s="161">
        <v>82</v>
      </c>
      <c r="AB9" s="161">
        <v>83</v>
      </c>
      <c r="AC9" s="167">
        <v>24</v>
      </c>
      <c r="AD9" s="27">
        <v>96</v>
      </c>
      <c r="AE9" s="167">
        <v>24</v>
      </c>
      <c r="AF9" s="161">
        <v>86</v>
      </c>
      <c r="AG9" s="162">
        <v>86</v>
      </c>
      <c r="AH9" s="161">
        <v>86</v>
      </c>
      <c r="AI9" s="169">
        <v>40</v>
      </c>
      <c r="AJ9" s="171">
        <v>0</v>
      </c>
      <c r="AK9" s="171">
        <v>0</v>
      </c>
      <c r="AL9" s="169">
        <v>40</v>
      </c>
      <c r="AM9" s="166">
        <v>69</v>
      </c>
      <c r="AN9" s="161">
        <v>86</v>
      </c>
      <c r="AO9" s="161">
        <v>86</v>
      </c>
      <c r="AP9" s="161">
        <v>86</v>
      </c>
      <c r="AQ9" s="201">
        <v>49</v>
      </c>
      <c r="AR9" s="201">
        <v>49</v>
      </c>
      <c r="AS9" s="201">
        <v>49</v>
      </c>
      <c r="AT9" s="201">
        <v>49</v>
      </c>
      <c r="AU9" s="201">
        <v>49</v>
      </c>
      <c r="AV9" s="201">
        <v>49</v>
      </c>
      <c r="AW9" s="201">
        <v>49</v>
      </c>
      <c r="AX9" s="202">
        <v>49</v>
      </c>
      <c r="AY9" s="201">
        <v>49</v>
      </c>
      <c r="AZ9" s="201">
        <v>49</v>
      </c>
      <c r="BA9" s="201">
        <v>49</v>
      </c>
      <c r="BB9" s="201">
        <v>49</v>
      </c>
      <c r="BC9" s="201">
        <v>49</v>
      </c>
      <c r="BD9" s="201">
        <v>49</v>
      </c>
      <c r="BE9" s="201">
        <v>49</v>
      </c>
      <c r="BF9" s="201">
        <v>49</v>
      </c>
      <c r="BG9" s="201">
        <v>49</v>
      </c>
      <c r="BH9" s="201">
        <v>49</v>
      </c>
      <c r="BI9" s="201">
        <v>49</v>
      </c>
      <c r="BJ9" s="201">
        <v>49</v>
      </c>
      <c r="BK9" s="201">
        <v>49</v>
      </c>
      <c r="BL9" s="201">
        <v>49</v>
      </c>
      <c r="BM9" s="203">
        <v>49</v>
      </c>
      <c r="BN9" s="201">
        <v>49</v>
      </c>
      <c r="BO9" s="201">
        <v>49</v>
      </c>
      <c r="BP9" s="201">
        <v>49</v>
      </c>
      <c r="BQ9" s="242">
        <v>87</v>
      </c>
      <c r="BR9" s="242">
        <v>87</v>
      </c>
      <c r="BS9" s="242">
        <v>87</v>
      </c>
      <c r="BT9" s="166">
        <v>69</v>
      </c>
      <c r="BU9" s="166">
        <v>69</v>
      </c>
      <c r="BV9" s="242">
        <v>87</v>
      </c>
      <c r="BW9" s="242">
        <v>87</v>
      </c>
      <c r="BX9" s="242">
        <v>87</v>
      </c>
      <c r="BY9" s="169">
        <v>40</v>
      </c>
      <c r="BZ9" s="199">
        <v>73</v>
      </c>
      <c r="CA9" s="169">
        <v>40</v>
      </c>
      <c r="CB9" s="183">
        <v>46</v>
      </c>
      <c r="CC9" s="242">
        <v>87</v>
      </c>
      <c r="CD9" s="242">
        <v>87</v>
      </c>
      <c r="CE9" s="243">
        <v>69</v>
      </c>
      <c r="CF9" s="242">
        <v>87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42">
        <v>87</v>
      </c>
      <c r="CN9" s="25">
        <v>71</v>
      </c>
      <c r="CO9" s="209">
        <v>33</v>
      </c>
      <c r="CP9" s="169">
        <v>40</v>
      </c>
      <c r="CQ9" s="188">
        <v>31</v>
      </c>
      <c r="CR9" s="209">
        <v>33</v>
      </c>
      <c r="CS9" s="188">
        <v>31</v>
      </c>
      <c r="CT9" s="244">
        <v>31</v>
      </c>
      <c r="CU9" s="209">
        <v>33</v>
      </c>
      <c r="CV9" s="169">
        <v>40</v>
      </c>
      <c r="CW9" s="209">
        <v>33</v>
      </c>
      <c r="CX9" s="159">
        <v>0</v>
      </c>
      <c r="CY9" s="169">
        <v>40</v>
      </c>
      <c r="CZ9" s="209">
        <v>33</v>
      </c>
      <c r="DA9" s="188">
        <v>31</v>
      </c>
      <c r="DB9" s="188">
        <v>31</v>
      </c>
      <c r="DC9" s="188">
        <v>31</v>
      </c>
      <c r="DD9" s="188">
        <v>31</v>
      </c>
      <c r="DE9" s="165">
        <v>54</v>
      </c>
      <c r="DF9" s="165">
        <v>55</v>
      </c>
      <c r="DG9" s="165">
        <v>55</v>
      </c>
      <c r="DH9" s="165">
        <v>54</v>
      </c>
      <c r="DI9" s="188">
        <v>31</v>
      </c>
      <c r="DJ9" s="244">
        <v>31</v>
      </c>
      <c r="DK9" s="188">
        <v>31</v>
      </c>
      <c r="DL9" s="209">
        <v>33</v>
      </c>
      <c r="DM9" s="159">
        <v>0</v>
      </c>
      <c r="DN9" s="159">
        <v>0</v>
      </c>
      <c r="DO9" s="209">
        <v>33</v>
      </c>
      <c r="DP9" s="244">
        <v>31</v>
      </c>
      <c r="DQ9" s="209">
        <v>33</v>
      </c>
      <c r="DR9" s="188">
        <v>31</v>
      </c>
      <c r="DS9" s="55">
        <v>13</v>
      </c>
      <c r="DT9" s="55">
        <v>13</v>
      </c>
      <c r="DU9" s="102">
        <v>57</v>
      </c>
      <c r="DV9" s="55">
        <v>13</v>
      </c>
      <c r="DW9" s="55">
        <v>13</v>
      </c>
      <c r="DX9" s="188">
        <v>31</v>
      </c>
      <c r="DY9" s="188">
        <v>31</v>
      </c>
      <c r="DZ9" s="161">
        <v>78</v>
      </c>
      <c r="EA9" s="169">
        <v>40</v>
      </c>
      <c r="EB9" s="169">
        <v>40</v>
      </c>
      <c r="EC9" s="169">
        <v>40</v>
      </c>
      <c r="ED9" s="171">
        <v>0</v>
      </c>
      <c r="EE9" s="171">
        <v>35</v>
      </c>
      <c r="EF9" s="171">
        <v>0</v>
      </c>
      <c r="EG9" s="171">
        <v>0</v>
      </c>
      <c r="EH9" s="171">
        <v>0</v>
      </c>
      <c r="EI9" s="171">
        <v>0</v>
      </c>
      <c r="EJ9" s="171">
        <v>35</v>
      </c>
      <c r="EK9" s="171">
        <v>0</v>
      </c>
      <c r="EL9" s="171">
        <v>0</v>
      </c>
      <c r="EM9" s="171">
        <v>0</v>
      </c>
      <c r="EN9" s="171">
        <v>0</v>
      </c>
      <c r="EO9" s="175">
        <v>0</v>
      </c>
      <c r="EP9" s="171">
        <v>0</v>
      </c>
      <c r="EQ9" s="171">
        <v>0</v>
      </c>
      <c r="ER9" s="166">
        <v>69</v>
      </c>
      <c r="ES9" s="171">
        <v>0</v>
      </c>
      <c r="ET9" s="241">
        <v>119</v>
      </c>
      <c r="EU9" s="171">
        <v>0</v>
      </c>
      <c r="EV9" s="171">
        <v>0</v>
      </c>
      <c r="EW9" s="171">
        <v>0</v>
      </c>
      <c r="EX9" s="171">
        <v>0</v>
      </c>
      <c r="EY9" s="171">
        <v>0</v>
      </c>
      <c r="EZ9" s="171">
        <v>0</v>
      </c>
      <c r="FA9" s="171">
        <v>0</v>
      </c>
      <c r="FB9" s="171">
        <v>0</v>
      </c>
      <c r="FC9" s="171">
        <v>0</v>
      </c>
      <c r="FD9" s="171">
        <v>0</v>
      </c>
      <c r="FE9" s="162">
        <v>78</v>
      </c>
      <c r="FF9" s="151">
        <v>85</v>
      </c>
      <c r="FG9" s="171">
        <v>0</v>
      </c>
      <c r="FH9" s="166">
        <v>69</v>
      </c>
      <c r="FI9" s="171">
        <v>0</v>
      </c>
      <c r="FJ9" s="241">
        <v>119</v>
      </c>
      <c r="FK9" s="171">
        <v>0</v>
      </c>
      <c r="FL9" s="171">
        <v>0</v>
      </c>
      <c r="FM9" s="212">
        <v>114</v>
      </c>
      <c r="FN9" s="171">
        <v>0</v>
      </c>
      <c r="FO9" s="171">
        <v>0</v>
      </c>
      <c r="FP9" s="171">
        <v>0</v>
      </c>
      <c r="FQ9" s="212">
        <v>114</v>
      </c>
      <c r="FR9" s="171">
        <v>0</v>
      </c>
      <c r="FS9" s="171">
        <v>0</v>
      </c>
      <c r="FT9" s="171">
        <v>0</v>
      </c>
      <c r="FU9" s="212">
        <v>114</v>
      </c>
      <c r="FV9" s="177">
        <v>0</v>
      </c>
      <c r="FW9" s="171">
        <v>0</v>
      </c>
      <c r="FX9" s="212">
        <v>114</v>
      </c>
      <c r="FY9" s="171">
        <v>0</v>
      </c>
      <c r="FZ9" s="171">
        <v>0</v>
      </c>
      <c r="GA9" s="171">
        <v>0</v>
      </c>
      <c r="GB9" s="171">
        <v>0</v>
      </c>
      <c r="GC9" s="171">
        <v>0</v>
      </c>
      <c r="GD9" s="212">
        <v>114</v>
      </c>
      <c r="GE9" s="171">
        <v>0</v>
      </c>
      <c r="GF9" s="212">
        <v>114</v>
      </c>
      <c r="GG9" s="171">
        <v>0</v>
      </c>
      <c r="GH9" s="171">
        <v>0</v>
      </c>
      <c r="GI9" s="212">
        <v>114</v>
      </c>
      <c r="GJ9" s="171">
        <v>0</v>
      </c>
      <c r="GK9" s="241">
        <v>119</v>
      </c>
      <c r="GL9" s="171">
        <v>0</v>
      </c>
      <c r="GM9" s="188">
        <v>31</v>
      </c>
      <c r="GN9" s="171">
        <v>0</v>
      </c>
      <c r="GO9" s="188">
        <v>31</v>
      </c>
      <c r="GP9" s="171">
        <v>0</v>
      </c>
      <c r="GQ9" s="188">
        <v>31</v>
      </c>
      <c r="GR9" s="171">
        <v>0</v>
      </c>
      <c r="GS9" s="171">
        <v>0</v>
      </c>
      <c r="GT9" s="171">
        <v>0</v>
      </c>
      <c r="GU9" s="57">
        <v>53</v>
      </c>
      <c r="GV9" s="178">
        <v>108</v>
      </c>
      <c r="GW9" s="57">
        <v>53</v>
      </c>
      <c r="GX9" s="178">
        <v>108</v>
      </c>
      <c r="GY9" s="57">
        <v>53</v>
      </c>
      <c r="GZ9" s="8">
        <v>11</v>
      </c>
      <c r="HA9" s="151">
        <v>87</v>
      </c>
      <c r="HB9" s="242">
        <v>87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34">
        <v>53</v>
      </c>
      <c r="HJ9" s="241">
        <v>119</v>
      </c>
      <c r="HK9" s="208">
        <v>0</v>
      </c>
      <c r="HL9" s="212">
        <v>114</v>
      </c>
      <c r="HM9" s="171">
        <v>0</v>
      </c>
      <c r="HN9" s="171">
        <v>0</v>
      </c>
      <c r="HO9" s="212">
        <v>114</v>
      </c>
      <c r="HP9" s="171">
        <v>0</v>
      </c>
      <c r="HQ9" s="188">
        <v>31</v>
      </c>
      <c r="HR9" s="244">
        <v>31</v>
      </c>
      <c r="HS9" s="171">
        <v>0</v>
      </c>
      <c r="HT9" s="212">
        <v>114</v>
      </c>
      <c r="HU9" s="233">
        <v>59</v>
      </c>
      <c r="HV9" s="233">
        <v>59</v>
      </c>
      <c r="HW9" s="233">
        <v>59</v>
      </c>
      <c r="HX9" s="212">
        <v>114</v>
      </c>
      <c r="HY9" s="171">
        <v>0</v>
      </c>
      <c r="HZ9" s="171">
        <v>0</v>
      </c>
      <c r="IA9" s="212">
        <v>114</v>
      </c>
      <c r="IB9" s="233">
        <v>59</v>
      </c>
      <c r="IC9" s="233">
        <v>59</v>
      </c>
      <c r="ID9" s="212">
        <v>114</v>
      </c>
      <c r="IE9" s="171">
        <v>0</v>
      </c>
      <c r="IF9" s="171">
        <v>0</v>
      </c>
      <c r="IG9" s="188">
        <v>31</v>
      </c>
      <c r="IH9" s="171">
        <v>0</v>
      </c>
      <c r="II9" s="171">
        <v>0</v>
      </c>
      <c r="IJ9" s="171">
        <v>0</v>
      </c>
      <c r="IK9" s="188">
        <v>31</v>
      </c>
      <c r="IL9" s="171">
        <v>0</v>
      </c>
      <c r="IM9" s="171">
        <v>0</v>
      </c>
      <c r="IN9" s="213">
        <v>114</v>
      </c>
      <c r="IO9" s="233">
        <v>59</v>
      </c>
      <c r="IP9" s="233">
        <v>59</v>
      </c>
      <c r="IQ9" s="213">
        <v>114</v>
      </c>
      <c r="IR9" s="171">
        <v>0</v>
      </c>
      <c r="IS9" s="14">
        <v>74</v>
      </c>
      <c r="IT9" s="17">
        <v>45</v>
      </c>
      <c r="IU9" s="183">
        <v>47</v>
      </c>
      <c r="IV9" s="167">
        <v>24</v>
      </c>
      <c r="IW9" s="151">
        <v>87</v>
      </c>
    </row>
    <row r="10" spans="1:257" s="152" customFormat="1" ht="20" hidden="1" customHeight="1" x14ac:dyDescent="0.15">
      <c r="A10" s="153">
        <v>8</v>
      </c>
      <c r="B10" s="161">
        <v>82</v>
      </c>
      <c r="C10" s="161">
        <v>82</v>
      </c>
      <c r="D10" s="161">
        <v>82</v>
      </c>
      <c r="E10" s="161">
        <v>82</v>
      </c>
      <c r="F10" s="161">
        <v>82</v>
      </c>
      <c r="G10" s="161">
        <v>82</v>
      </c>
      <c r="H10" s="161">
        <v>82</v>
      </c>
      <c r="I10" s="161">
        <v>82</v>
      </c>
      <c r="J10" s="161">
        <v>82</v>
      </c>
      <c r="K10" s="161">
        <v>82</v>
      </c>
      <c r="L10" s="161">
        <v>82</v>
      </c>
      <c r="M10" s="161">
        <v>82</v>
      </c>
      <c r="N10" s="161">
        <v>82</v>
      </c>
      <c r="O10" s="161">
        <v>82</v>
      </c>
      <c r="P10" s="161">
        <v>82</v>
      </c>
      <c r="Q10" s="162">
        <v>82</v>
      </c>
      <c r="R10" s="161">
        <v>82</v>
      </c>
      <c r="S10" s="161">
        <v>83</v>
      </c>
      <c r="T10" s="166">
        <v>69</v>
      </c>
      <c r="U10" s="161">
        <v>81</v>
      </c>
      <c r="V10" s="161">
        <v>82</v>
      </c>
      <c r="W10" s="161">
        <v>82</v>
      </c>
      <c r="X10" s="161">
        <v>82</v>
      </c>
      <c r="Y10" s="161">
        <v>82</v>
      </c>
      <c r="Z10" s="161">
        <v>82</v>
      </c>
      <c r="AA10" s="161">
        <v>82</v>
      </c>
      <c r="AB10" s="161">
        <v>82</v>
      </c>
      <c r="AC10" s="161">
        <v>82</v>
      </c>
      <c r="AD10" s="161">
        <v>83</v>
      </c>
      <c r="AE10" s="166">
        <v>69</v>
      </c>
      <c r="AF10" s="161">
        <v>86</v>
      </c>
      <c r="AG10" s="162">
        <v>86</v>
      </c>
      <c r="AH10" s="161">
        <v>86</v>
      </c>
      <c r="AI10" s="161">
        <v>86</v>
      </c>
      <c r="AJ10" s="166">
        <v>69</v>
      </c>
      <c r="AK10" s="161">
        <v>86</v>
      </c>
      <c r="AL10" s="161">
        <v>86</v>
      </c>
      <c r="AM10" s="161">
        <v>86</v>
      </c>
      <c r="AN10" s="161">
        <v>86</v>
      </c>
      <c r="AO10" s="161">
        <v>86</v>
      </c>
      <c r="AP10" s="161">
        <v>86</v>
      </c>
      <c r="AQ10" s="161">
        <v>81</v>
      </c>
      <c r="AR10" s="161">
        <v>82</v>
      </c>
      <c r="AS10" s="161">
        <v>82</v>
      </c>
      <c r="AT10" s="161">
        <v>82</v>
      </c>
      <c r="AU10" s="161">
        <v>82</v>
      </c>
      <c r="AV10" s="161">
        <v>82</v>
      </c>
      <c r="AW10" s="161">
        <v>82</v>
      </c>
      <c r="AX10" s="161">
        <v>82</v>
      </c>
      <c r="AY10" s="161">
        <v>82</v>
      </c>
      <c r="AZ10" s="161">
        <v>82</v>
      </c>
      <c r="BA10" s="161">
        <v>82</v>
      </c>
      <c r="BB10" s="161">
        <v>82</v>
      </c>
      <c r="BC10" s="161">
        <v>82</v>
      </c>
      <c r="BD10" s="161">
        <v>82</v>
      </c>
      <c r="BE10" s="161">
        <v>82</v>
      </c>
      <c r="BF10" s="161">
        <v>82</v>
      </c>
      <c r="BG10" s="161">
        <v>82</v>
      </c>
      <c r="BH10" s="161">
        <v>82</v>
      </c>
      <c r="BI10" s="161">
        <v>82</v>
      </c>
      <c r="BJ10" s="161">
        <v>82</v>
      </c>
      <c r="BK10" s="161">
        <v>82</v>
      </c>
      <c r="BL10" s="161">
        <v>82</v>
      </c>
      <c r="BM10" s="161">
        <v>82</v>
      </c>
      <c r="BN10" s="161">
        <v>82</v>
      </c>
      <c r="BO10" s="161">
        <v>82</v>
      </c>
      <c r="BP10" s="161">
        <v>83</v>
      </c>
      <c r="BQ10" s="242">
        <v>87</v>
      </c>
      <c r="BR10" s="242">
        <v>87</v>
      </c>
      <c r="BS10" s="242">
        <v>87</v>
      </c>
      <c r="BT10" s="166">
        <v>69</v>
      </c>
      <c r="BU10" s="166">
        <v>69</v>
      </c>
      <c r="BV10" s="242">
        <v>87</v>
      </c>
      <c r="BW10" s="242">
        <v>87</v>
      </c>
      <c r="BX10" s="242">
        <v>87</v>
      </c>
      <c r="BY10" s="242">
        <v>87</v>
      </c>
      <c r="BZ10" s="242">
        <v>87</v>
      </c>
      <c r="CA10" s="242">
        <v>87</v>
      </c>
      <c r="CB10" s="242">
        <v>87</v>
      </c>
      <c r="CC10" s="242">
        <v>87</v>
      </c>
      <c r="CD10" s="242">
        <v>87</v>
      </c>
      <c r="CE10" s="243">
        <v>69</v>
      </c>
      <c r="CF10" s="242">
        <v>87</v>
      </c>
      <c r="CG10" s="242">
        <v>87</v>
      </c>
      <c r="CH10" s="242">
        <v>87</v>
      </c>
      <c r="CI10" s="242">
        <v>87</v>
      </c>
      <c r="CJ10" s="242">
        <v>87</v>
      </c>
      <c r="CK10" s="242">
        <v>87</v>
      </c>
      <c r="CL10" s="242">
        <v>87</v>
      </c>
      <c r="CM10" s="242">
        <v>87</v>
      </c>
      <c r="CN10" s="161">
        <v>81</v>
      </c>
      <c r="CO10" s="161">
        <v>82</v>
      </c>
      <c r="CP10" s="161">
        <v>82</v>
      </c>
      <c r="CQ10" s="161">
        <v>82</v>
      </c>
      <c r="CR10" s="161">
        <v>82</v>
      </c>
      <c r="CS10" s="162">
        <v>82</v>
      </c>
      <c r="CT10" s="161">
        <v>82</v>
      </c>
      <c r="CU10" s="161">
        <v>82</v>
      </c>
      <c r="CV10" s="161">
        <v>82</v>
      </c>
      <c r="CW10" s="161">
        <v>82</v>
      </c>
      <c r="CX10" s="161">
        <v>82</v>
      </c>
      <c r="CY10" s="161">
        <v>82</v>
      </c>
      <c r="CZ10" s="161">
        <v>82</v>
      </c>
      <c r="DA10" s="161">
        <v>82</v>
      </c>
      <c r="DB10" s="161">
        <v>82</v>
      </c>
      <c r="DC10" s="161">
        <v>82</v>
      </c>
      <c r="DD10" s="161">
        <v>82</v>
      </c>
      <c r="DE10" s="161">
        <v>82</v>
      </c>
      <c r="DF10" s="161">
        <v>82</v>
      </c>
      <c r="DG10" s="161">
        <v>82</v>
      </c>
      <c r="DH10" s="161">
        <v>82</v>
      </c>
      <c r="DI10" s="162">
        <v>82</v>
      </c>
      <c r="DJ10" s="161">
        <v>82</v>
      </c>
      <c r="DK10" s="161">
        <v>82</v>
      </c>
      <c r="DL10" s="161">
        <v>83</v>
      </c>
      <c r="DM10" s="214">
        <v>50</v>
      </c>
      <c r="DN10" s="214">
        <v>50</v>
      </c>
      <c r="DO10" s="161">
        <v>81</v>
      </c>
      <c r="DP10" s="161">
        <v>82</v>
      </c>
      <c r="DQ10" s="161">
        <v>82</v>
      </c>
      <c r="DR10" s="161">
        <v>81</v>
      </c>
      <c r="DS10" s="161">
        <v>82</v>
      </c>
      <c r="DT10" s="161">
        <v>82</v>
      </c>
      <c r="DU10" s="161">
        <v>82</v>
      </c>
      <c r="DV10" s="161">
        <v>82</v>
      </c>
      <c r="DW10" s="161">
        <v>82</v>
      </c>
      <c r="DX10" s="161">
        <v>82</v>
      </c>
      <c r="DY10" s="161">
        <v>82</v>
      </c>
      <c r="DZ10" s="161">
        <v>78</v>
      </c>
      <c r="EA10" s="161">
        <v>78</v>
      </c>
      <c r="EB10" s="161">
        <v>78</v>
      </c>
      <c r="EC10" s="161">
        <v>78</v>
      </c>
      <c r="ED10" s="214">
        <v>50</v>
      </c>
      <c r="EE10" s="214">
        <v>50</v>
      </c>
      <c r="EF10" s="214">
        <v>50</v>
      </c>
      <c r="EG10" s="214">
        <v>50</v>
      </c>
      <c r="EH10" s="214">
        <v>50</v>
      </c>
      <c r="EI10" s="214">
        <v>50</v>
      </c>
      <c r="EJ10" s="214">
        <v>50</v>
      </c>
      <c r="EK10" s="214">
        <v>50</v>
      </c>
      <c r="EL10" s="214">
        <v>50</v>
      </c>
      <c r="EM10" s="214">
        <v>50</v>
      </c>
      <c r="EN10" s="214">
        <v>50</v>
      </c>
      <c r="EO10" s="162">
        <v>78</v>
      </c>
      <c r="EP10" s="161">
        <v>78</v>
      </c>
      <c r="EQ10" s="161">
        <v>78</v>
      </c>
      <c r="ER10" s="161">
        <v>78</v>
      </c>
      <c r="ES10" s="161">
        <v>78</v>
      </c>
      <c r="ET10" s="161">
        <v>78</v>
      </c>
      <c r="EU10" s="214">
        <v>50</v>
      </c>
      <c r="EV10" s="214">
        <v>50</v>
      </c>
      <c r="EW10" s="214">
        <v>50</v>
      </c>
      <c r="EX10" s="214">
        <v>50</v>
      </c>
      <c r="EY10" s="214">
        <v>50</v>
      </c>
      <c r="EZ10" s="161">
        <v>78</v>
      </c>
      <c r="FA10" s="214">
        <v>50</v>
      </c>
      <c r="FB10" s="214">
        <v>50</v>
      </c>
      <c r="FC10" s="214">
        <v>50</v>
      </c>
      <c r="FD10" s="214">
        <v>50</v>
      </c>
      <c r="FE10" s="162">
        <v>78</v>
      </c>
      <c r="FF10" s="151">
        <v>85</v>
      </c>
      <c r="FG10" s="151">
        <v>85</v>
      </c>
      <c r="FH10" s="151">
        <v>85</v>
      </c>
      <c r="FI10" s="151">
        <v>85</v>
      </c>
      <c r="FJ10" s="151">
        <v>85</v>
      </c>
      <c r="FK10" s="214">
        <v>50</v>
      </c>
      <c r="FL10" s="214">
        <v>50</v>
      </c>
      <c r="FM10" s="215">
        <v>50</v>
      </c>
      <c r="FN10" s="214">
        <v>50</v>
      </c>
      <c r="FO10" s="214">
        <v>50</v>
      </c>
      <c r="FP10" s="214">
        <v>50</v>
      </c>
      <c r="FQ10" s="215">
        <v>50</v>
      </c>
      <c r="FR10" s="214">
        <v>50</v>
      </c>
      <c r="FS10" s="214">
        <v>50</v>
      </c>
      <c r="FT10" s="214">
        <v>50</v>
      </c>
      <c r="FU10" s="215">
        <v>50</v>
      </c>
      <c r="FV10" s="216">
        <v>50</v>
      </c>
      <c r="FW10" s="214">
        <v>50</v>
      </c>
      <c r="FX10" s="214">
        <v>50</v>
      </c>
      <c r="FY10" s="214">
        <v>50</v>
      </c>
      <c r="FZ10" s="214">
        <v>50</v>
      </c>
      <c r="GA10" s="214">
        <v>50</v>
      </c>
      <c r="GB10" s="214">
        <v>50</v>
      </c>
      <c r="GC10" s="214">
        <v>50</v>
      </c>
      <c r="GD10" s="214">
        <v>50</v>
      </c>
      <c r="GE10" s="214">
        <v>50</v>
      </c>
      <c r="GF10" s="214">
        <v>50</v>
      </c>
      <c r="GG10" s="214">
        <v>50</v>
      </c>
      <c r="GH10" s="214">
        <v>50</v>
      </c>
      <c r="GI10" s="214">
        <v>50</v>
      </c>
      <c r="GJ10" s="214">
        <v>50</v>
      </c>
      <c r="GK10" s="151">
        <v>85</v>
      </c>
      <c r="GL10" s="151">
        <v>85</v>
      </c>
      <c r="GM10" s="151">
        <v>85</v>
      </c>
      <c r="GN10" s="151">
        <v>85</v>
      </c>
      <c r="GO10" s="151">
        <v>85</v>
      </c>
      <c r="GP10" s="151">
        <v>85</v>
      </c>
      <c r="GQ10" s="151">
        <v>85</v>
      </c>
      <c r="GR10" s="151">
        <v>85</v>
      </c>
      <c r="GS10" s="151">
        <v>85</v>
      </c>
      <c r="GT10" s="151">
        <v>85</v>
      </c>
      <c r="GU10" s="151">
        <v>85</v>
      </c>
      <c r="GV10" s="151">
        <v>85</v>
      </c>
      <c r="GW10" s="151">
        <v>85</v>
      </c>
      <c r="GX10" s="151">
        <v>85</v>
      </c>
      <c r="GY10" s="151">
        <v>85</v>
      </c>
      <c r="GZ10" s="151">
        <v>85</v>
      </c>
      <c r="HA10" s="151">
        <v>85</v>
      </c>
      <c r="HB10" s="242">
        <v>85</v>
      </c>
      <c r="HC10" s="151">
        <v>85</v>
      </c>
      <c r="HD10" s="151">
        <v>85</v>
      </c>
      <c r="HE10" s="151">
        <v>85</v>
      </c>
      <c r="HF10" s="151">
        <v>85</v>
      </c>
      <c r="HG10" s="151">
        <v>85</v>
      </c>
      <c r="HH10" s="151">
        <v>85</v>
      </c>
      <c r="HI10" s="151">
        <v>85</v>
      </c>
      <c r="HJ10" s="151">
        <v>85</v>
      </c>
      <c r="HK10" s="151">
        <v>85</v>
      </c>
      <c r="HL10" s="214">
        <v>50</v>
      </c>
      <c r="HM10" s="151">
        <v>85</v>
      </c>
      <c r="HN10" s="151">
        <v>85</v>
      </c>
      <c r="HO10" s="214">
        <v>50</v>
      </c>
      <c r="HP10" s="151">
        <v>85</v>
      </c>
      <c r="HQ10" s="151">
        <v>85</v>
      </c>
      <c r="HR10" s="242">
        <v>85</v>
      </c>
      <c r="HS10" s="151">
        <v>85</v>
      </c>
      <c r="HT10" s="214">
        <v>50</v>
      </c>
      <c r="HU10" s="214">
        <v>50</v>
      </c>
      <c r="HV10" s="214">
        <v>50</v>
      </c>
      <c r="HW10" s="214">
        <v>50</v>
      </c>
      <c r="HX10" s="214">
        <v>50</v>
      </c>
      <c r="HY10" s="151">
        <v>85</v>
      </c>
      <c r="HZ10" s="151">
        <v>85</v>
      </c>
      <c r="IA10" s="214">
        <v>50</v>
      </c>
      <c r="IB10" s="214">
        <v>50</v>
      </c>
      <c r="IC10" s="214">
        <v>50</v>
      </c>
      <c r="ID10" s="214">
        <v>50</v>
      </c>
      <c r="IE10" s="151">
        <v>85</v>
      </c>
      <c r="IF10" s="151">
        <v>85</v>
      </c>
      <c r="IG10" s="151">
        <v>85</v>
      </c>
      <c r="IH10" s="242">
        <v>85</v>
      </c>
      <c r="II10" s="151">
        <v>85</v>
      </c>
      <c r="IJ10" s="151">
        <v>85</v>
      </c>
      <c r="IK10" s="151">
        <v>85</v>
      </c>
      <c r="IL10" s="151">
        <v>85</v>
      </c>
      <c r="IM10" s="151">
        <v>85</v>
      </c>
      <c r="IN10" s="214">
        <v>50</v>
      </c>
      <c r="IO10" s="214">
        <v>50</v>
      </c>
      <c r="IP10" s="214">
        <v>50</v>
      </c>
      <c r="IQ10" s="214">
        <v>50</v>
      </c>
      <c r="IR10" s="151">
        <v>85</v>
      </c>
      <c r="IS10" s="151">
        <v>85</v>
      </c>
      <c r="IT10" s="151">
        <v>85</v>
      </c>
      <c r="IU10" s="151">
        <v>85</v>
      </c>
      <c r="IV10" s="151">
        <v>85</v>
      </c>
      <c r="IW10" s="151">
        <v>85</v>
      </c>
    </row>
    <row r="11" spans="1:257" ht="20" hidden="1" customHeight="1" x14ac:dyDescent="0.15">
      <c r="B11" s="261" t="s">
        <v>137</v>
      </c>
      <c r="C11" s="261"/>
      <c r="D11" s="261"/>
      <c r="E11" s="261"/>
      <c r="F11" s="261"/>
      <c r="G11" s="261"/>
      <c r="H11" s="261"/>
      <c r="I11" s="261"/>
      <c r="J11" s="261"/>
      <c r="K11" s="261"/>
      <c r="L11" s="261"/>
      <c r="M11" s="261"/>
      <c r="N11" s="261"/>
      <c r="O11" s="261"/>
      <c r="P11" s="261"/>
      <c r="Q11" s="261"/>
      <c r="R11" s="261"/>
      <c r="S11" s="261"/>
      <c r="T11" s="261"/>
      <c r="U11" s="261"/>
      <c r="V11" s="261"/>
      <c r="W11" s="261"/>
      <c r="X11" s="261"/>
      <c r="Y11" s="261"/>
      <c r="Z11" s="261"/>
      <c r="AA11" s="261"/>
      <c r="AB11" s="261"/>
      <c r="AC11" s="261"/>
      <c r="AD11" s="261"/>
      <c r="AE11" s="261"/>
      <c r="AF11" s="261"/>
      <c r="AG11" s="261"/>
      <c r="AH11" s="261"/>
      <c r="AI11" s="261"/>
      <c r="AJ11" s="261"/>
      <c r="AK11" s="261"/>
      <c r="AL11" s="261"/>
      <c r="AM11" s="261"/>
      <c r="AN11" s="261"/>
      <c r="AO11" s="261"/>
      <c r="AP11" s="261"/>
      <c r="AQ11" s="261"/>
      <c r="AR11" s="261"/>
      <c r="AS11" s="261"/>
      <c r="AT11" s="261"/>
      <c r="AU11" s="261"/>
      <c r="AV11" s="261"/>
      <c r="AW11" s="261"/>
      <c r="AX11" s="261"/>
      <c r="AY11" s="261"/>
      <c r="AZ11" s="261"/>
      <c r="BA11" s="261"/>
      <c r="BB11" s="261"/>
      <c r="BC11" s="261"/>
      <c r="BD11" s="261"/>
      <c r="BE11" s="261"/>
      <c r="BF11" s="261"/>
      <c r="BG11" s="261"/>
      <c r="BH11" s="261"/>
      <c r="BI11" s="261"/>
      <c r="BJ11" s="261"/>
      <c r="BK11" s="261"/>
      <c r="BL11" s="261"/>
      <c r="BM11" s="262"/>
      <c r="BN11" s="261" t="s">
        <v>138</v>
      </c>
      <c r="BO11" s="261"/>
      <c r="BP11" s="261"/>
      <c r="BQ11" s="261"/>
      <c r="BR11" s="261"/>
      <c r="BS11" s="261"/>
      <c r="BT11" s="261"/>
      <c r="BU11" s="261"/>
      <c r="BV11" s="261"/>
      <c r="BW11" s="261"/>
      <c r="BX11" s="261"/>
      <c r="BY11" s="261"/>
      <c r="BZ11" s="261"/>
      <c r="CA11" s="261"/>
      <c r="CB11" s="261"/>
      <c r="CC11" s="261"/>
      <c r="CD11" s="261"/>
      <c r="CE11" s="261"/>
      <c r="CF11" s="261"/>
      <c r="CG11" s="261"/>
      <c r="CH11" s="261"/>
      <c r="CI11" s="261"/>
      <c r="CJ11" s="261"/>
      <c r="CK11" s="261"/>
      <c r="CL11" s="261"/>
      <c r="CM11" s="261"/>
      <c r="CN11" s="261"/>
      <c r="CO11" s="261"/>
      <c r="CP11" s="261"/>
      <c r="CQ11" s="261"/>
      <c r="CR11" s="261"/>
      <c r="CS11" s="261"/>
      <c r="CT11" s="261"/>
      <c r="CU11" s="261"/>
      <c r="CV11" s="261"/>
      <c r="CW11" s="261"/>
      <c r="CX11" s="261"/>
      <c r="CY11" s="261"/>
      <c r="CZ11" s="261"/>
      <c r="DA11" s="261"/>
      <c r="DB11" s="261"/>
      <c r="DC11" s="261"/>
      <c r="DD11" s="261"/>
      <c r="DE11" s="261"/>
      <c r="DF11" s="261"/>
      <c r="DG11" s="261"/>
      <c r="DH11" s="261"/>
      <c r="DI11" s="261"/>
      <c r="DJ11" s="261"/>
      <c r="DK11" s="261"/>
      <c r="DL11" s="261"/>
      <c r="DM11" s="261"/>
      <c r="DN11" s="261"/>
      <c r="DO11" s="261"/>
      <c r="DP11" s="261"/>
      <c r="DQ11" s="261"/>
      <c r="DR11" s="261"/>
      <c r="DS11" s="261"/>
      <c r="DT11" s="261"/>
      <c r="DU11" s="261"/>
      <c r="DV11" s="261"/>
      <c r="DW11" s="261"/>
      <c r="DX11" s="261"/>
      <c r="DY11" s="262"/>
      <c r="DZ11" s="263" t="s">
        <v>139</v>
      </c>
      <c r="EA11" s="264"/>
      <c r="EB11" s="264"/>
      <c r="EC11" s="264"/>
      <c r="ED11" s="264"/>
      <c r="EE11" s="264"/>
      <c r="EF11" s="264"/>
      <c r="EG11" s="264"/>
      <c r="EH11" s="264"/>
      <c r="EI11" s="264"/>
      <c r="EJ11" s="264"/>
      <c r="EK11" s="264"/>
      <c r="EL11" s="264"/>
      <c r="EM11" s="264"/>
      <c r="EN11" s="264"/>
      <c r="EO11" s="264"/>
      <c r="EP11" s="264"/>
      <c r="EQ11" s="264"/>
      <c r="ER11" s="264"/>
      <c r="ES11" s="264"/>
      <c r="ET11" s="264"/>
      <c r="EU11" s="264"/>
      <c r="EV11" s="264"/>
      <c r="EW11" s="264"/>
      <c r="EX11" s="264"/>
      <c r="EY11" s="264"/>
      <c r="EZ11" s="264"/>
      <c r="FA11" s="264"/>
      <c r="FB11" s="264"/>
      <c r="FC11" s="264"/>
      <c r="FD11" s="264"/>
      <c r="FE11" s="264"/>
      <c r="FF11" s="264"/>
      <c r="FG11" s="264"/>
      <c r="FH11" s="264"/>
      <c r="FI11" s="264"/>
      <c r="FJ11" s="264"/>
      <c r="FK11" s="264"/>
      <c r="FL11" s="264"/>
      <c r="FM11" s="264"/>
      <c r="FN11" s="264"/>
      <c r="FO11" s="264"/>
      <c r="FP11" s="264"/>
      <c r="FQ11" s="264"/>
      <c r="FR11" s="264"/>
      <c r="FS11" s="264"/>
      <c r="FT11" s="264"/>
      <c r="FU11" s="264"/>
      <c r="FV11" s="264"/>
      <c r="FW11" s="264"/>
      <c r="FX11" s="264"/>
      <c r="FY11" s="264"/>
      <c r="FZ11" s="264"/>
      <c r="GA11" s="264"/>
      <c r="GB11" s="264"/>
      <c r="GC11" s="264"/>
      <c r="GD11" s="264"/>
      <c r="GE11" s="264"/>
      <c r="GF11" s="264"/>
      <c r="GG11" s="264"/>
      <c r="GH11" s="264"/>
      <c r="GI11" s="264"/>
      <c r="GJ11" s="264"/>
      <c r="GK11" s="265"/>
      <c r="GL11" s="266" t="s">
        <v>140</v>
      </c>
      <c r="GM11" s="264"/>
      <c r="GN11" s="264"/>
      <c r="GO11" s="264"/>
      <c r="GP11" s="264"/>
      <c r="GQ11" s="264"/>
      <c r="GR11" s="264"/>
      <c r="GS11" s="264"/>
      <c r="GT11" s="264"/>
      <c r="GU11" s="264"/>
      <c r="GV11" s="264"/>
      <c r="GW11" s="264"/>
      <c r="GX11" s="264"/>
      <c r="GY11" s="264"/>
      <c r="GZ11" s="264"/>
      <c r="HA11" s="264"/>
      <c r="HB11" s="264"/>
      <c r="HC11" s="264"/>
      <c r="HD11" s="264"/>
      <c r="HE11" s="264"/>
      <c r="HF11" s="264"/>
      <c r="HG11" s="264"/>
      <c r="HH11" s="264"/>
      <c r="HI11" s="264"/>
      <c r="HJ11" s="264"/>
      <c r="HK11" s="264"/>
      <c r="HL11" s="264"/>
      <c r="HM11" s="264"/>
      <c r="HN11" s="264"/>
      <c r="HO11" s="264"/>
      <c r="HP11" s="264"/>
      <c r="HQ11" s="264"/>
      <c r="HR11" s="264"/>
      <c r="HS11" s="264"/>
      <c r="HT11" s="264"/>
      <c r="HU11" s="264"/>
      <c r="HV11" s="264"/>
      <c r="HW11" s="264"/>
      <c r="HX11" s="264"/>
      <c r="HY11" s="264"/>
      <c r="HZ11" s="264"/>
      <c r="IA11" s="264"/>
      <c r="IB11" s="264"/>
      <c r="IC11" s="264"/>
      <c r="ID11" s="264"/>
      <c r="IE11" s="264"/>
      <c r="IF11" s="264"/>
      <c r="IG11" s="264"/>
      <c r="IH11" s="264"/>
      <c r="II11" s="264"/>
      <c r="IJ11" s="264"/>
      <c r="IK11" s="264"/>
      <c r="IL11" s="264"/>
      <c r="IM11" s="264"/>
      <c r="IN11" s="264"/>
      <c r="IO11" s="264"/>
      <c r="IP11" s="264"/>
      <c r="IQ11" s="264"/>
      <c r="IR11" s="264"/>
      <c r="IS11" s="264"/>
      <c r="IT11" s="264"/>
      <c r="IU11" s="264"/>
      <c r="IV11" s="264"/>
      <c r="IW11" s="265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8" customFormat="1" ht="20" customHeight="1" x14ac:dyDescent="0.15">
      <c r="B19" s="158">
        <v>7</v>
      </c>
      <c r="C19" s="158">
        <v>8</v>
      </c>
      <c r="D19" s="159">
        <v>0</v>
      </c>
      <c r="E19" s="159">
        <v>0</v>
      </c>
      <c r="F19" s="158">
        <v>7</v>
      </c>
      <c r="G19" s="158">
        <v>8</v>
      </c>
      <c r="H19" s="159">
        <v>0</v>
      </c>
      <c r="I19" s="158">
        <v>7</v>
      </c>
      <c r="J19" s="158">
        <v>8</v>
      </c>
      <c r="K19" s="159">
        <v>0</v>
      </c>
      <c r="L19" s="158">
        <v>7</v>
      </c>
      <c r="M19" s="158">
        <v>8</v>
      </c>
      <c r="N19" s="159">
        <v>0</v>
      </c>
      <c r="O19" s="159">
        <v>0</v>
      </c>
      <c r="P19" s="159">
        <v>0</v>
      </c>
      <c r="Q19" s="160">
        <v>0</v>
      </c>
      <c r="R19" s="159">
        <v>0</v>
      </c>
      <c r="S19" s="158">
        <v>7</v>
      </c>
      <c r="T19" s="158">
        <v>8</v>
      </c>
      <c r="U19" s="159">
        <v>0</v>
      </c>
      <c r="V19" s="158">
        <v>7</v>
      </c>
      <c r="W19" s="158">
        <v>8</v>
      </c>
      <c r="X19" s="161">
        <v>81</v>
      </c>
      <c r="Y19" s="161">
        <v>82</v>
      </c>
      <c r="Z19" s="161">
        <v>82</v>
      </c>
      <c r="AA19" s="161">
        <v>82</v>
      </c>
      <c r="AB19" s="161">
        <v>82</v>
      </c>
      <c r="AC19" s="161">
        <v>82</v>
      </c>
      <c r="AD19" s="161">
        <v>82</v>
      </c>
      <c r="AE19" s="161">
        <v>82</v>
      </c>
      <c r="AF19" s="161">
        <v>82</v>
      </c>
      <c r="AG19" s="162">
        <v>82</v>
      </c>
      <c r="AH19" s="161">
        <v>81</v>
      </c>
      <c r="AI19" s="161">
        <v>82</v>
      </c>
      <c r="AJ19" s="161">
        <v>82</v>
      </c>
      <c r="AK19" s="161">
        <v>82</v>
      </c>
      <c r="AL19" s="161">
        <v>82</v>
      </c>
      <c r="AM19" s="161">
        <v>82</v>
      </c>
      <c r="AN19" s="161">
        <v>82</v>
      </c>
      <c r="AO19" s="161">
        <v>83</v>
      </c>
      <c r="AP19" s="159">
        <v>0</v>
      </c>
      <c r="AQ19" s="159">
        <v>0</v>
      </c>
      <c r="AR19" s="159">
        <v>0</v>
      </c>
      <c r="AS19" s="163">
        <v>40</v>
      </c>
      <c r="AT19" s="159">
        <v>35</v>
      </c>
      <c r="AU19" s="159">
        <v>0</v>
      </c>
      <c r="AV19" s="163">
        <v>40</v>
      </c>
      <c r="AW19" s="159">
        <v>35</v>
      </c>
      <c r="AX19" s="164">
        <v>0</v>
      </c>
      <c r="AY19" s="163">
        <v>40</v>
      </c>
      <c r="AZ19" s="159">
        <v>35</v>
      </c>
      <c r="BA19" s="159">
        <v>0</v>
      </c>
      <c r="BB19" s="159">
        <v>35</v>
      </c>
      <c r="BC19" s="159">
        <v>0</v>
      </c>
      <c r="BD19" s="159">
        <v>0</v>
      </c>
      <c r="BE19" s="159">
        <v>0</v>
      </c>
      <c r="BF19" s="159">
        <v>0</v>
      </c>
      <c r="BG19" s="159">
        <v>0</v>
      </c>
      <c r="BH19" s="159">
        <v>0</v>
      </c>
      <c r="BI19" s="159">
        <v>35</v>
      </c>
      <c r="BJ19" s="159">
        <v>0</v>
      </c>
      <c r="BK19" s="159">
        <v>35</v>
      </c>
      <c r="BL19" s="163">
        <v>40</v>
      </c>
      <c r="BM19" s="160">
        <v>0</v>
      </c>
      <c r="BN19" s="159">
        <v>35</v>
      </c>
      <c r="BO19" s="159">
        <v>0</v>
      </c>
      <c r="BP19" s="163">
        <v>40</v>
      </c>
      <c r="BQ19" s="159">
        <v>0</v>
      </c>
      <c r="BR19" s="159">
        <v>0</v>
      </c>
      <c r="BS19" s="159">
        <v>0</v>
      </c>
      <c r="BT19" s="159">
        <v>0</v>
      </c>
      <c r="BU19" s="159">
        <v>0</v>
      </c>
      <c r="BV19" s="57">
        <v>52</v>
      </c>
      <c r="BW19" s="151">
        <v>85</v>
      </c>
      <c r="BX19" s="151">
        <v>85</v>
      </c>
      <c r="BY19" s="151">
        <v>85</v>
      </c>
      <c r="BZ19" s="151">
        <v>85</v>
      </c>
      <c r="CA19" s="151">
        <v>85</v>
      </c>
      <c r="CB19" s="151">
        <v>85</v>
      </c>
      <c r="CC19" s="151">
        <v>85</v>
      </c>
      <c r="CD19" s="151">
        <v>85</v>
      </c>
      <c r="CE19" s="151">
        <v>85</v>
      </c>
      <c r="CF19" s="151">
        <v>85</v>
      </c>
      <c r="CG19" s="151">
        <v>85</v>
      </c>
      <c r="CH19" s="151">
        <v>85</v>
      </c>
      <c r="CI19" s="151">
        <v>85</v>
      </c>
      <c r="CJ19" s="151">
        <v>85</v>
      </c>
      <c r="CK19" s="151">
        <v>85</v>
      </c>
      <c r="CL19" s="151">
        <v>85</v>
      </c>
      <c r="CM19" s="151">
        <v>85</v>
      </c>
      <c r="CN19" s="57">
        <v>52</v>
      </c>
      <c r="CO19" s="159">
        <v>0</v>
      </c>
      <c r="CP19" s="159">
        <v>0</v>
      </c>
      <c r="CQ19" s="159">
        <v>0</v>
      </c>
      <c r="CR19" s="159">
        <v>0</v>
      </c>
      <c r="CS19" s="160">
        <v>0</v>
      </c>
      <c r="CT19" s="159">
        <v>0</v>
      </c>
      <c r="CU19" s="159">
        <v>0</v>
      </c>
      <c r="CV19" s="159">
        <v>0</v>
      </c>
      <c r="CW19" s="159">
        <v>0</v>
      </c>
      <c r="CX19" s="159">
        <v>0</v>
      </c>
      <c r="CY19" s="159">
        <v>0</v>
      </c>
      <c r="CZ19" s="159">
        <v>0</v>
      </c>
      <c r="DA19" s="159">
        <v>0</v>
      </c>
      <c r="DB19" s="159">
        <v>0</v>
      </c>
      <c r="DC19" s="159">
        <v>0</v>
      </c>
      <c r="DD19" s="159">
        <v>0</v>
      </c>
      <c r="DE19" s="165">
        <v>56</v>
      </c>
      <c r="DF19" s="165">
        <v>55</v>
      </c>
      <c r="DG19" s="165">
        <v>55</v>
      </c>
      <c r="DH19" s="165">
        <v>56</v>
      </c>
      <c r="DI19" s="160">
        <v>0</v>
      </c>
      <c r="DJ19" s="159">
        <v>0</v>
      </c>
      <c r="DK19" s="159">
        <v>0</v>
      </c>
      <c r="DL19" s="159">
        <v>0</v>
      </c>
      <c r="DM19" s="159">
        <v>0</v>
      </c>
      <c r="DN19" s="159">
        <v>0</v>
      </c>
      <c r="DO19" s="159">
        <v>0</v>
      </c>
      <c r="DP19" s="159">
        <v>0</v>
      </c>
      <c r="DQ19" s="159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9">
        <v>0</v>
      </c>
    </row>
    <row r="20" spans="2:129" s="218" customFormat="1" ht="20" customHeight="1" x14ac:dyDescent="0.15">
      <c r="B20" s="158">
        <v>9</v>
      </c>
      <c r="C20" s="158">
        <v>10</v>
      </c>
      <c r="D20" s="158">
        <v>7</v>
      </c>
      <c r="E20" s="158">
        <v>8</v>
      </c>
      <c r="F20" s="158">
        <v>9</v>
      </c>
      <c r="G20" s="158">
        <v>10</v>
      </c>
      <c r="H20" s="7">
        <v>116</v>
      </c>
      <c r="I20" s="158">
        <v>9</v>
      </c>
      <c r="J20" s="158">
        <v>10</v>
      </c>
      <c r="K20" s="159">
        <v>0</v>
      </c>
      <c r="L20" s="158">
        <v>9</v>
      </c>
      <c r="M20" s="158">
        <v>10</v>
      </c>
      <c r="N20" s="158">
        <v>7</v>
      </c>
      <c r="O20" s="158">
        <v>8</v>
      </c>
      <c r="P20" s="159">
        <v>0</v>
      </c>
      <c r="Q20" s="160">
        <v>0</v>
      </c>
      <c r="R20" s="159">
        <v>0</v>
      </c>
      <c r="S20" s="158">
        <v>9</v>
      </c>
      <c r="T20" s="158">
        <v>10</v>
      </c>
      <c r="U20" s="159">
        <v>0</v>
      </c>
      <c r="V20" s="158">
        <v>9</v>
      </c>
      <c r="W20" s="158">
        <v>10</v>
      </c>
      <c r="X20" s="159">
        <v>0</v>
      </c>
      <c r="Y20" s="167">
        <v>24</v>
      </c>
      <c r="Z20" s="167">
        <v>24</v>
      </c>
      <c r="AA20" s="167">
        <v>24</v>
      </c>
      <c r="AB20" s="168">
        <v>110</v>
      </c>
      <c r="AC20" s="167">
        <v>24</v>
      </c>
      <c r="AD20" s="167">
        <v>24</v>
      </c>
      <c r="AE20" s="167">
        <v>24</v>
      </c>
      <c r="AF20" s="161">
        <v>86</v>
      </c>
      <c r="AG20" s="162">
        <v>86</v>
      </c>
      <c r="AH20" s="161">
        <v>86</v>
      </c>
      <c r="AI20" s="161">
        <v>86</v>
      </c>
      <c r="AJ20" s="161">
        <v>86</v>
      </c>
      <c r="AK20" s="161">
        <v>86</v>
      </c>
      <c r="AL20" s="161">
        <v>86</v>
      </c>
      <c r="AM20" s="161">
        <v>86</v>
      </c>
      <c r="AN20" s="161">
        <v>86</v>
      </c>
      <c r="AO20" s="161">
        <v>86</v>
      </c>
      <c r="AP20" s="159">
        <v>0</v>
      </c>
      <c r="AQ20" s="159">
        <v>0</v>
      </c>
      <c r="AR20" s="159">
        <v>0</v>
      </c>
      <c r="AS20" s="159">
        <v>0</v>
      </c>
      <c r="AT20" s="159">
        <v>0</v>
      </c>
      <c r="AU20" s="169">
        <v>40</v>
      </c>
      <c r="AV20" s="159">
        <v>0</v>
      </c>
      <c r="AW20" s="170">
        <v>115</v>
      </c>
      <c r="AX20" s="164">
        <v>0</v>
      </c>
      <c r="AY20" s="159">
        <v>0</v>
      </c>
      <c r="AZ20" s="159">
        <v>0</v>
      </c>
      <c r="BA20" s="169">
        <v>40</v>
      </c>
      <c r="BB20" s="159">
        <v>0</v>
      </c>
      <c r="BC20" s="159">
        <v>0</v>
      </c>
      <c r="BD20" s="159">
        <v>0</v>
      </c>
      <c r="BE20" s="159">
        <v>0</v>
      </c>
      <c r="BF20" s="159">
        <v>0</v>
      </c>
      <c r="BG20" s="159">
        <v>0</v>
      </c>
      <c r="BH20" s="159">
        <v>0</v>
      </c>
      <c r="BI20" s="159">
        <v>0</v>
      </c>
      <c r="BJ20" s="169">
        <v>40</v>
      </c>
      <c r="BK20" s="159">
        <v>0</v>
      </c>
      <c r="BL20" s="159">
        <v>0</v>
      </c>
      <c r="BM20" s="160">
        <v>0</v>
      </c>
      <c r="BN20" s="159">
        <v>0</v>
      </c>
      <c r="BO20" s="159">
        <v>0</v>
      </c>
      <c r="BP20" s="159">
        <v>0</v>
      </c>
      <c r="BQ20" s="159">
        <v>0</v>
      </c>
      <c r="BR20" s="159">
        <v>0</v>
      </c>
      <c r="BS20" s="159">
        <v>0</v>
      </c>
      <c r="BT20" s="159">
        <v>0</v>
      </c>
      <c r="BU20" s="159">
        <v>0</v>
      </c>
      <c r="BV20" s="159">
        <v>0</v>
      </c>
      <c r="BW20" s="167">
        <v>24</v>
      </c>
      <c r="BX20" s="167">
        <v>24</v>
      </c>
      <c r="BY20" s="167">
        <v>24</v>
      </c>
      <c r="BZ20" s="167">
        <v>24</v>
      </c>
      <c r="CA20" s="167">
        <v>24</v>
      </c>
      <c r="CB20" s="9">
        <v>77</v>
      </c>
      <c r="CC20" s="9">
        <v>77</v>
      </c>
      <c r="CD20" s="9">
        <v>77</v>
      </c>
      <c r="CE20" s="9">
        <v>77</v>
      </c>
      <c r="CF20" s="167">
        <v>24</v>
      </c>
      <c r="CG20" s="167">
        <v>24</v>
      </c>
      <c r="CH20" s="167">
        <v>24</v>
      </c>
      <c r="CI20" s="167">
        <v>24</v>
      </c>
      <c r="CJ20" s="167">
        <v>24</v>
      </c>
      <c r="CK20" s="167">
        <v>24</v>
      </c>
      <c r="CL20" s="167">
        <v>24</v>
      </c>
      <c r="CM20" s="167">
        <v>24</v>
      </c>
      <c r="CN20" s="25">
        <v>71</v>
      </c>
      <c r="CO20" s="159">
        <v>0</v>
      </c>
      <c r="CP20" s="159">
        <v>0</v>
      </c>
      <c r="CQ20" s="159">
        <v>0</v>
      </c>
      <c r="CR20" s="159">
        <v>0</v>
      </c>
      <c r="CS20" s="160">
        <v>0</v>
      </c>
      <c r="CT20" s="159">
        <v>0</v>
      </c>
      <c r="CU20" s="159">
        <v>0</v>
      </c>
      <c r="CV20" s="159">
        <v>0</v>
      </c>
      <c r="CW20" s="159">
        <v>0</v>
      </c>
      <c r="CX20" s="159">
        <v>0</v>
      </c>
      <c r="CY20" s="159">
        <v>0</v>
      </c>
      <c r="CZ20" s="159">
        <v>0</v>
      </c>
      <c r="DA20" s="159">
        <v>0</v>
      </c>
      <c r="DB20" s="159">
        <v>0</v>
      </c>
      <c r="DC20" s="159">
        <v>0</v>
      </c>
      <c r="DD20" s="159">
        <v>0</v>
      </c>
      <c r="DE20" s="159">
        <v>0</v>
      </c>
      <c r="DF20" s="172">
        <v>120</v>
      </c>
      <c r="DG20" s="159">
        <v>0</v>
      </c>
      <c r="DH20" s="159">
        <v>0</v>
      </c>
      <c r="DI20" s="160">
        <v>0</v>
      </c>
      <c r="DJ20" s="159">
        <v>0</v>
      </c>
      <c r="DK20" s="159">
        <v>0</v>
      </c>
      <c r="DL20" s="159">
        <v>0</v>
      </c>
      <c r="DM20" s="159">
        <v>0</v>
      </c>
      <c r="DN20" s="159">
        <v>0</v>
      </c>
      <c r="DO20" s="159">
        <v>0</v>
      </c>
      <c r="DP20" s="159">
        <v>0</v>
      </c>
      <c r="DQ20" s="159">
        <v>0</v>
      </c>
      <c r="DR20" s="159">
        <v>0</v>
      </c>
      <c r="DS20" s="55">
        <v>13</v>
      </c>
      <c r="DT20" s="150">
        <v>14</v>
      </c>
      <c r="DU20" s="55">
        <v>13</v>
      </c>
      <c r="DV20" s="150">
        <v>14</v>
      </c>
      <c r="DW20" s="55">
        <v>13</v>
      </c>
      <c r="DX20" s="159">
        <v>0</v>
      </c>
      <c r="DY20" s="159">
        <v>0</v>
      </c>
    </row>
    <row r="21" spans="2:129" s="218" customFormat="1" ht="20" customHeight="1" x14ac:dyDescent="0.15">
      <c r="B21" s="159">
        <v>0</v>
      </c>
      <c r="C21" s="159">
        <v>0</v>
      </c>
      <c r="D21" s="158">
        <v>9</v>
      </c>
      <c r="E21" s="158">
        <v>10</v>
      </c>
      <c r="F21" s="159">
        <v>0</v>
      </c>
      <c r="G21" s="159">
        <v>0</v>
      </c>
      <c r="H21" s="159">
        <v>0</v>
      </c>
      <c r="I21" s="159">
        <v>0</v>
      </c>
      <c r="J21" s="159">
        <v>0</v>
      </c>
      <c r="K21" s="180">
        <v>34</v>
      </c>
      <c r="L21" s="180">
        <v>34</v>
      </c>
      <c r="M21" s="159">
        <v>0</v>
      </c>
      <c r="N21" s="158">
        <v>9</v>
      </c>
      <c r="O21" s="158">
        <v>10</v>
      </c>
      <c r="P21" s="159">
        <v>0</v>
      </c>
      <c r="Q21" s="181">
        <v>7</v>
      </c>
      <c r="R21" s="158">
        <v>8</v>
      </c>
      <c r="S21" s="169">
        <v>40</v>
      </c>
      <c r="T21" s="182">
        <v>102</v>
      </c>
      <c r="U21" s="169">
        <v>40</v>
      </c>
      <c r="V21" s="159">
        <v>0</v>
      </c>
      <c r="W21" s="169">
        <v>40</v>
      </c>
      <c r="X21" s="159">
        <v>0</v>
      </c>
      <c r="Y21" s="167">
        <v>24</v>
      </c>
      <c r="Z21" s="167">
        <v>24</v>
      </c>
      <c r="AA21" s="167">
        <v>24</v>
      </c>
      <c r="AB21" s="167">
        <v>24</v>
      </c>
      <c r="AC21" s="169">
        <v>40</v>
      </c>
      <c r="AD21" s="167">
        <v>24</v>
      </c>
      <c r="AE21" s="183">
        <v>41</v>
      </c>
      <c r="AF21" s="161">
        <v>86</v>
      </c>
      <c r="AG21" s="162">
        <v>86</v>
      </c>
      <c r="AH21" s="161">
        <v>86</v>
      </c>
      <c r="AI21" s="171">
        <v>0</v>
      </c>
      <c r="AJ21" s="27">
        <v>96</v>
      </c>
      <c r="AK21" s="184">
        <v>35</v>
      </c>
      <c r="AL21" s="169">
        <v>40</v>
      </c>
      <c r="AM21" s="27">
        <v>96</v>
      </c>
      <c r="AN21" s="171">
        <v>0</v>
      </c>
      <c r="AO21" s="169">
        <v>40</v>
      </c>
      <c r="AP21" s="169">
        <v>40</v>
      </c>
      <c r="AQ21" s="159">
        <v>35</v>
      </c>
      <c r="AR21" s="169">
        <v>40</v>
      </c>
      <c r="AS21" s="159">
        <v>0</v>
      </c>
      <c r="AT21" s="159">
        <v>0</v>
      </c>
      <c r="AU21" s="233">
        <v>59</v>
      </c>
      <c r="AV21" s="159">
        <v>0</v>
      </c>
      <c r="AW21" s="159">
        <v>0</v>
      </c>
      <c r="AX21" s="185">
        <v>40</v>
      </c>
      <c r="AY21" s="159">
        <v>0</v>
      </c>
      <c r="AZ21" s="159">
        <v>0</v>
      </c>
      <c r="BA21" s="233">
        <v>59</v>
      </c>
      <c r="BB21" s="159">
        <v>0</v>
      </c>
      <c r="BC21" s="163">
        <v>40</v>
      </c>
      <c r="BD21" s="163">
        <v>40</v>
      </c>
      <c r="BE21" s="163">
        <v>40</v>
      </c>
      <c r="BF21" s="186">
        <v>43</v>
      </c>
      <c r="BG21" s="163">
        <v>40</v>
      </c>
      <c r="BH21" s="163">
        <v>40</v>
      </c>
      <c r="BI21" s="159">
        <v>0</v>
      </c>
      <c r="BJ21" s="233">
        <v>59</v>
      </c>
      <c r="BK21" s="159">
        <v>0</v>
      </c>
      <c r="BL21" s="159">
        <v>0</v>
      </c>
      <c r="BM21" s="187">
        <v>40</v>
      </c>
      <c r="BN21" s="159">
        <v>0</v>
      </c>
      <c r="BO21" s="169">
        <v>40</v>
      </c>
      <c r="BP21" s="159">
        <v>0</v>
      </c>
      <c r="BQ21" s="169">
        <v>40</v>
      </c>
      <c r="BR21" s="169">
        <v>40</v>
      </c>
      <c r="BS21" s="159">
        <v>0</v>
      </c>
      <c r="BT21" s="1">
        <v>105</v>
      </c>
      <c r="BU21" s="188">
        <v>31</v>
      </c>
      <c r="BV21" s="159">
        <v>0</v>
      </c>
      <c r="BW21" s="167">
        <v>24</v>
      </c>
      <c r="BX21" s="167">
        <v>24</v>
      </c>
      <c r="BY21" s="10">
        <v>110</v>
      </c>
      <c r="BZ21" s="167">
        <v>24</v>
      </c>
      <c r="CA21" s="167">
        <v>24</v>
      </c>
      <c r="CB21" s="167">
        <v>24</v>
      </c>
      <c r="CC21" s="9">
        <v>77</v>
      </c>
      <c r="CD21" s="9">
        <v>77</v>
      </c>
      <c r="CE21" s="167">
        <v>24</v>
      </c>
      <c r="CF21" s="167">
        <v>24</v>
      </c>
      <c r="CG21" s="167">
        <v>24</v>
      </c>
      <c r="CH21" s="167">
        <v>24</v>
      </c>
      <c r="CI21" s="167">
        <v>24</v>
      </c>
      <c r="CJ21" s="167">
        <v>24</v>
      </c>
      <c r="CK21" s="10">
        <v>102</v>
      </c>
      <c r="CL21" s="167">
        <v>24</v>
      </c>
      <c r="CM21" s="167">
        <v>24</v>
      </c>
      <c r="CN21" s="25">
        <v>71</v>
      </c>
      <c r="CO21" s="180">
        <v>34</v>
      </c>
      <c r="CP21" s="159">
        <v>0</v>
      </c>
      <c r="CQ21" s="159">
        <v>0</v>
      </c>
      <c r="CR21" s="180">
        <v>34</v>
      </c>
      <c r="CS21" s="160">
        <v>0</v>
      </c>
      <c r="CT21" s="159">
        <v>0</v>
      </c>
      <c r="CU21" s="180">
        <v>34</v>
      </c>
      <c r="CV21" s="159">
        <v>0</v>
      </c>
      <c r="CW21" s="180">
        <v>34</v>
      </c>
      <c r="CX21" s="159">
        <v>0</v>
      </c>
      <c r="CY21" s="159">
        <v>0</v>
      </c>
      <c r="CZ21" s="180">
        <v>34</v>
      </c>
      <c r="DA21" s="159">
        <v>0</v>
      </c>
      <c r="DB21" s="159">
        <v>0</v>
      </c>
      <c r="DC21" s="159">
        <v>0</v>
      </c>
      <c r="DD21" s="233">
        <v>59</v>
      </c>
      <c r="DE21" s="159">
        <v>0</v>
      </c>
      <c r="DF21" s="172">
        <v>120</v>
      </c>
      <c r="DG21" s="159">
        <v>0</v>
      </c>
      <c r="DH21" s="7">
        <v>116</v>
      </c>
      <c r="DI21" s="160">
        <v>0</v>
      </c>
      <c r="DJ21" s="159">
        <v>0</v>
      </c>
      <c r="DK21" s="159">
        <v>0</v>
      </c>
      <c r="DL21" s="180">
        <v>34</v>
      </c>
      <c r="DM21" s="159">
        <v>0</v>
      </c>
      <c r="DN21" s="159">
        <v>0</v>
      </c>
      <c r="DO21" s="180">
        <v>34</v>
      </c>
      <c r="DP21" s="159">
        <v>0</v>
      </c>
      <c r="DQ21" s="180">
        <v>34</v>
      </c>
      <c r="DR21" s="159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9">
        <v>0</v>
      </c>
      <c r="DY21" s="159">
        <v>0</v>
      </c>
    </row>
    <row r="22" spans="2:129" s="218" customFormat="1" ht="20" customHeight="1" x14ac:dyDescent="0.15">
      <c r="B22" s="159">
        <v>0</v>
      </c>
      <c r="C22" s="180">
        <v>34</v>
      </c>
      <c r="D22" s="180">
        <v>34</v>
      </c>
      <c r="E22" s="180">
        <v>34</v>
      </c>
      <c r="F22" s="159">
        <v>0</v>
      </c>
      <c r="G22" s="159">
        <v>35</v>
      </c>
      <c r="H22" s="159">
        <v>0</v>
      </c>
      <c r="I22" s="159">
        <v>35</v>
      </c>
      <c r="J22" s="180">
        <v>34</v>
      </c>
      <c r="K22" s="180">
        <v>34</v>
      </c>
      <c r="L22" s="180">
        <v>34</v>
      </c>
      <c r="M22" s="180">
        <v>34</v>
      </c>
      <c r="N22" s="159">
        <v>0</v>
      </c>
      <c r="O22" s="159">
        <v>0</v>
      </c>
      <c r="P22" s="159">
        <v>0</v>
      </c>
      <c r="Q22" s="181">
        <v>9</v>
      </c>
      <c r="R22" s="158">
        <v>10</v>
      </c>
      <c r="S22" s="192">
        <v>63</v>
      </c>
      <c r="T22" s="192">
        <v>63</v>
      </c>
      <c r="U22" s="192">
        <v>63</v>
      </c>
      <c r="V22" s="192">
        <v>63</v>
      </c>
      <c r="W22" s="192">
        <v>63</v>
      </c>
      <c r="X22" s="161">
        <v>81</v>
      </c>
      <c r="Y22" s="161">
        <v>82</v>
      </c>
      <c r="Z22" s="161">
        <v>82</v>
      </c>
      <c r="AA22" s="161">
        <v>82</v>
      </c>
      <c r="AB22" s="161">
        <v>82</v>
      </c>
      <c r="AC22" s="161">
        <v>82</v>
      </c>
      <c r="AD22" s="161">
        <v>82</v>
      </c>
      <c r="AE22" s="161">
        <v>82</v>
      </c>
      <c r="AF22" s="161">
        <v>82</v>
      </c>
      <c r="AG22" s="162">
        <v>83</v>
      </c>
      <c r="AH22" s="161">
        <v>86</v>
      </c>
      <c r="AI22" s="171">
        <v>0</v>
      </c>
      <c r="AJ22" s="171">
        <v>0</v>
      </c>
      <c r="AK22" s="166">
        <v>69</v>
      </c>
      <c r="AL22" s="161">
        <v>81</v>
      </c>
      <c r="AM22" s="161">
        <v>83</v>
      </c>
      <c r="AN22" s="166">
        <v>69</v>
      </c>
      <c r="AO22" s="161">
        <v>81</v>
      </c>
      <c r="AP22" s="161">
        <v>83</v>
      </c>
      <c r="AQ22" s="159">
        <v>0</v>
      </c>
      <c r="AR22" s="233">
        <v>59</v>
      </c>
      <c r="AS22" s="159">
        <v>0</v>
      </c>
      <c r="AT22" s="193">
        <v>115</v>
      </c>
      <c r="AU22" s="159">
        <v>0</v>
      </c>
      <c r="AV22" s="159">
        <v>0</v>
      </c>
      <c r="AW22" s="159">
        <v>0</v>
      </c>
      <c r="AX22" s="233">
        <v>59</v>
      </c>
      <c r="AY22" s="159">
        <v>0</v>
      </c>
      <c r="AZ22" s="193">
        <v>115</v>
      </c>
      <c r="BA22" s="159">
        <v>0</v>
      </c>
      <c r="BB22" s="193">
        <v>115</v>
      </c>
      <c r="BC22" s="233">
        <v>59</v>
      </c>
      <c r="BD22" s="233">
        <v>59</v>
      </c>
      <c r="BE22" s="233">
        <v>59</v>
      </c>
      <c r="BF22" s="233">
        <v>59</v>
      </c>
      <c r="BG22" s="233">
        <v>59</v>
      </c>
      <c r="BH22" s="233">
        <v>59</v>
      </c>
      <c r="BI22" s="193">
        <v>115</v>
      </c>
      <c r="BJ22" s="159">
        <v>0</v>
      </c>
      <c r="BK22" s="193">
        <v>115</v>
      </c>
      <c r="BL22" s="159">
        <v>0</v>
      </c>
      <c r="BM22" s="233">
        <v>59</v>
      </c>
      <c r="BN22" s="194">
        <v>115</v>
      </c>
      <c r="BO22" s="233">
        <v>59</v>
      </c>
      <c r="BP22" s="159">
        <v>0</v>
      </c>
      <c r="BQ22" s="151">
        <v>85</v>
      </c>
      <c r="BR22" s="151">
        <v>85</v>
      </c>
      <c r="BS22" s="151">
        <v>85</v>
      </c>
      <c r="BT22" s="166">
        <v>69</v>
      </c>
      <c r="BU22" s="166">
        <v>69</v>
      </c>
      <c r="BV22" s="151">
        <v>85</v>
      </c>
      <c r="BW22" s="151">
        <v>85</v>
      </c>
      <c r="BX22" s="167">
        <v>24</v>
      </c>
      <c r="BY22" s="167">
        <v>24</v>
      </c>
      <c r="BZ22" s="167">
        <v>24</v>
      </c>
      <c r="CA22" s="10">
        <v>110</v>
      </c>
      <c r="CB22" s="166">
        <v>69</v>
      </c>
      <c r="CC22" s="151">
        <v>85</v>
      </c>
      <c r="CD22" s="151">
        <v>85</v>
      </c>
      <c r="CE22" s="243">
        <v>69</v>
      </c>
      <c r="CF22" s="151">
        <v>85</v>
      </c>
      <c r="CG22" s="151">
        <v>85</v>
      </c>
      <c r="CH22" s="151">
        <v>85</v>
      </c>
      <c r="CI22" s="151">
        <v>85</v>
      </c>
      <c r="CJ22" s="151">
        <v>85</v>
      </c>
      <c r="CK22" s="151">
        <v>85</v>
      </c>
      <c r="CL22" s="151">
        <v>85</v>
      </c>
      <c r="CM22" s="151">
        <v>85</v>
      </c>
      <c r="CN22" s="25">
        <v>71</v>
      </c>
      <c r="CO22" s="180">
        <v>34</v>
      </c>
      <c r="CP22" s="159">
        <v>0</v>
      </c>
      <c r="CQ22" s="159">
        <v>0</v>
      </c>
      <c r="CR22" s="180">
        <v>34</v>
      </c>
      <c r="CS22" s="160">
        <v>0</v>
      </c>
      <c r="CT22" s="159">
        <v>0</v>
      </c>
      <c r="CU22" s="180">
        <v>34</v>
      </c>
      <c r="CV22" s="159">
        <v>0</v>
      </c>
      <c r="CW22" s="180">
        <v>34</v>
      </c>
      <c r="CX22" s="159">
        <v>0</v>
      </c>
      <c r="CY22" s="159">
        <v>0</v>
      </c>
      <c r="CZ22" s="180">
        <v>34</v>
      </c>
      <c r="DA22" s="159">
        <v>0</v>
      </c>
      <c r="DB22" s="233">
        <v>59</v>
      </c>
      <c r="DC22" s="159">
        <v>0</v>
      </c>
      <c r="DD22" s="159">
        <v>0</v>
      </c>
      <c r="DE22" s="159">
        <v>0</v>
      </c>
      <c r="DF22" s="159">
        <v>0</v>
      </c>
      <c r="DG22" s="159">
        <v>0</v>
      </c>
      <c r="DH22" s="159">
        <v>0</v>
      </c>
      <c r="DI22" s="160">
        <v>0</v>
      </c>
      <c r="DJ22" s="159">
        <v>0</v>
      </c>
      <c r="DK22" s="159">
        <v>0</v>
      </c>
      <c r="DL22" s="180">
        <v>34</v>
      </c>
      <c r="DM22" s="159">
        <v>0</v>
      </c>
      <c r="DN22" s="159">
        <v>0</v>
      </c>
      <c r="DO22" s="180">
        <v>34</v>
      </c>
      <c r="DP22" s="159">
        <v>0</v>
      </c>
      <c r="DQ22" s="180">
        <v>34</v>
      </c>
      <c r="DR22" s="159">
        <v>0</v>
      </c>
      <c r="DS22" s="55">
        <v>13</v>
      </c>
      <c r="DT22" s="55">
        <v>13</v>
      </c>
      <c r="DU22" s="150">
        <v>14</v>
      </c>
      <c r="DV22" s="55">
        <v>13</v>
      </c>
      <c r="DW22" s="55">
        <v>13</v>
      </c>
      <c r="DX22" s="159">
        <v>0</v>
      </c>
      <c r="DY22" s="159">
        <v>0</v>
      </c>
    </row>
    <row r="23" spans="2:129" s="218" customFormat="1" ht="20" customHeight="1" x14ac:dyDescent="0.15">
      <c r="B23" s="159">
        <v>0</v>
      </c>
      <c r="C23" s="180">
        <v>34</v>
      </c>
      <c r="D23" s="180">
        <v>34</v>
      </c>
      <c r="E23" s="180">
        <v>34</v>
      </c>
      <c r="F23" s="159">
        <v>0</v>
      </c>
      <c r="G23" s="159">
        <v>0</v>
      </c>
      <c r="H23" s="196">
        <v>122</v>
      </c>
      <c r="I23" s="159">
        <v>0</v>
      </c>
      <c r="J23" s="180">
        <v>34</v>
      </c>
      <c r="K23" s="180">
        <v>34</v>
      </c>
      <c r="L23" s="180">
        <v>34</v>
      </c>
      <c r="M23" s="180">
        <v>34</v>
      </c>
      <c r="N23" s="159">
        <v>0</v>
      </c>
      <c r="O23" s="159">
        <v>0</v>
      </c>
      <c r="P23" s="159">
        <v>35</v>
      </c>
      <c r="Q23" s="160">
        <v>0</v>
      </c>
      <c r="R23" s="159">
        <v>0</v>
      </c>
      <c r="S23" s="159">
        <v>0</v>
      </c>
      <c r="T23" s="159">
        <v>0</v>
      </c>
      <c r="U23" s="159">
        <v>0</v>
      </c>
      <c r="V23" s="159">
        <v>0</v>
      </c>
      <c r="W23" s="159">
        <v>0</v>
      </c>
      <c r="X23" s="161">
        <v>86</v>
      </c>
      <c r="Y23" s="167">
        <v>24</v>
      </c>
      <c r="Z23" s="167">
        <v>24</v>
      </c>
      <c r="AA23" s="167">
        <v>24</v>
      </c>
      <c r="AB23" s="161">
        <v>86</v>
      </c>
      <c r="AC23" s="167">
        <v>24</v>
      </c>
      <c r="AD23" s="167">
        <v>24</v>
      </c>
      <c r="AE23" s="167">
        <v>24</v>
      </c>
      <c r="AF23" s="161">
        <v>86</v>
      </c>
      <c r="AG23" s="162">
        <v>86</v>
      </c>
      <c r="AH23" s="161">
        <v>86</v>
      </c>
      <c r="AI23" s="169">
        <v>40</v>
      </c>
      <c r="AJ23" s="169">
        <v>40</v>
      </c>
      <c r="AK23" s="166">
        <v>69</v>
      </c>
      <c r="AL23" s="161">
        <v>86</v>
      </c>
      <c r="AM23" s="171">
        <v>0</v>
      </c>
      <c r="AN23" s="166">
        <v>69</v>
      </c>
      <c r="AO23" s="161">
        <v>86</v>
      </c>
      <c r="AP23" s="159">
        <v>0</v>
      </c>
      <c r="AQ23" s="159">
        <v>0</v>
      </c>
      <c r="AR23" s="159">
        <v>0</v>
      </c>
      <c r="AS23" s="159">
        <v>0</v>
      </c>
      <c r="AT23" s="159">
        <v>0</v>
      </c>
      <c r="AU23" s="159">
        <v>0</v>
      </c>
      <c r="AV23" s="159">
        <v>0</v>
      </c>
      <c r="AW23" s="159">
        <v>0</v>
      </c>
      <c r="AX23" s="164">
        <v>0</v>
      </c>
      <c r="AY23" s="159">
        <v>0</v>
      </c>
      <c r="AZ23" s="159">
        <v>0</v>
      </c>
      <c r="BA23" s="159">
        <v>0</v>
      </c>
      <c r="BB23" s="159">
        <v>0</v>
      </c>
      <c r="BC23" s="159">
        <v>0</v>
      </c>
      <c r="BD23" s="159">
        <v>0</v>
      </c>
      <c r="BE23" s="159">
        <v>0</v>
      </c>
      <c r="BF23" s="159">
        <v>0</v>
      </c>
      <c r="BG23" s="159">
        <v>0</v>
      </c>
      <c r="BH23" s="159">
        <v>0</v>
      </c>
      <c r="BI23" s="159">
        <v>0</v>
      </c>
      <c r="BJ23" s="159">
        <v>0</v>
      </c>
      <c r="BK23" s="159">
        <v>0</v>
      </c>
      <c r="BL23" s="159">
        <v>0</v>
      </c>
      <c r="BM23" s="160">
        <v>0</v>
      </c>
      <c r="BN23" s="159">
        <v>0</v>
      </c>
      <c r="BO23" s="159">
        <v>0</v>
      </c>
      <c r="BP23" s="159">
        <v>0</v>
      </c>
      <c r="BQ23" s="159">
        <v>0</v>
      </c>
      <c r="BR23" s="197">
        <v>111</v>
      </c>
      <c r="BS23" s="169">
        <v>40</v>
      </c>
      <c r="BT23" s="166">
        <v>69</v>
      </c>
      <c r="BU23" s="166">
        <v>69</v>
      </c>
      <c r="BV23" s="159">
        <v>0</v>
      </c>
      <c r="BW23" s="242">
        <v>87</v>
      </c>
      <c r="BX23" s="167">
        <v>24</v>
      </c>
      <c r="BY23" s="169">
        <v>40</v>
      </c>
      <c r="BZ23" s="188">
        <v>31</v>
      </c>
      <c r="CA23" s="169">
        <v>40</v>
      </c>
      <c r="CB23" s="166">
        <v>69</v>
      </c>
      <c r="CC23" s="242">
        <v>87</v>
      </c>
      <c r="CD23" s="242">
        <v>87</v>
      </c>
      <c r="CE23" s="243">
        <v>69</v>
      </c>
      <c r="CF23" s="171">
        <v>0</v>
      </c>
      <c r="CG23" s="10">
        <v>110</v>
      </c>
      <c r="CH23" s="242">
        <v>87</v>
      </c>
      <c r="CI23" s="242">
        <v>87</v>
      </c>
      <c r="CJ23" s="242">
        <v>87</v>
      </c>
      <c r="CK23" s="242">
        <v>87</v>
      </c>
      <c r="CL23" s="10">
        <v>110</v>
      </c>
      <c r="CM23" s="242">
        <v>87</v>
      </c>
      <c r="CN23" s="25">
        <v>71</v>
      </c>
      <c r="CO23" s="180">
        <v>34</v>
      </c>
      <c r="CP23" s="159">
        <v>0</v>
      </c>
      <c r="CQ23" s="159">
        <v>0</v>
      </c>
      <c r="CR23" s="180">
        <v>34</v>
      </c>
      <c r="CS23" s="160">
        <v>0</v>
      </c>
      <c r="CT23" s="159">
        <v>0</v>
      </c>
      <c r="CU23" s="180">
        <v>34</v>
      </c>
      <c r="CV23" s="159">
        <v>0</v>
      </c>
      <c r="CW23" s="180">
        <v>34</v>
      </c>
      <c r="CX23" s="159">
        <v>0</v>
      </c>
      <c r="CY23" s="159">
        <v>0</v>
      </c>
      <c r="CZ23" s="180">
        <v>34</v>
      </c>
      <c r="DA23" s="159">
        <v>0</v>
      </c>
      <c r="DB23" s="159">
        <v>0</v>
      </c>
      <c r="DC23" s="159">
        <v>0</v>
      </c>
      <c r="DD23" s="159">
        <v>0</v>
      </c>
      <c r="DE23" s="159">
        <v>0</v>
      </c>
      <c r="DF23" s="159">
        <v>0</v>
      </c>
      <c r="DG23" s="159">
        <v>0</v>
      </c>
      <c r="DH23" s="159">
        <v>0</v>
      </c>
      <c r="DI23" s="160">
        <v>0</v>
      </c>
      <c r="DJ23" s="159">
        <v>0</v>
      </c>
      <c r="DK23" s="159">
        <v>0</v>
      </c>
      <c r="DL23" s="180">
        <v>34</v>
      </c>
      <c r="DM23" s="159">
        <v>0</v>
      </c>
      <c r="DN23" s="159">
        <v>0</v>
      </c>
      <c r="DO23" s="180">
        <v>34</v>
      </c>
      <c r="DP23" s="159">
        <v>0</v>
      </c>
      <c r="DQ23" s="180">
        <v>34</v>
      </c>
      <c r="DR23" s="159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9">
        <v>0</v>
      </c>
      <c r="DY23" s="159">
        <v>0</v>
      </c>
    </row>
    <row r="24" spans="2:129" s="218" customFormat="1" ht="20" customHeight="1" x14ac:dyDescent="0.15">
      <c r="B24" s="180">
        <v>34</v>
      </c>
      <c r="C24" s="180">
        <v>34</v>
      </c>
      <c r="D24" s="180">
        <v>34</v>
      </c>
      <c r="E24" s="180">
        <v>34</v>
      </c>
      <c r="F24" s="180">
        <v>34</v>
      </c>
      <c r="G24" s="159">
        <v>0</v>
      </c>
      <c r="H24" s="200">
        <v>90</v>
      </c>
      <c r="I24" s="159">
        <v>0</v>
      </c>
      <c r="J24" s="180">
        <v>34</v>
      </c>
      <c r="K24" s="180">
        <v>34</v>
      </c>
      <c r="L24" s="180">
        <v>34</v>
      </c>
      <c r="M24" s="180">
        <v>34</v>
      </c>
      <c r="N24" s="159">
        <v>0</v>
      </c>
      <c r="O24" s="159">
        <v>0</v>
      </c>
      <c r="P24" s="178">
        <v>108</v>
      </c>
      <c r="Q24" s="160">
        <v>0</v>
      </c>
      <c r="R24" s="159">
        <v>0</v>
      </c>
      <c r="S24" s="159">
        <v>0</v>
      </c>
      <c r="T24" s="159">
        <v>0</v>
      </c>
      <c r="U24" s="161">
        <v>80</v>
      </c>
      <c r="V24" s="159">
        <v>0</v>
      </c>
      <c r="W24" s="159">
        <v>0</v>
      </c>
      <c r="X24" s="161">
        <v>86</v>
      </c>
      <c r="Y24" s="167">
        <v>24</v>
      </c>
      <c r="Z24" s="167">
        <v>24</v>
      </c>
      <c r="AA24" s="161">
        <v>81</v>
      </c>
      <c r="AB24" s="161">
        <v>83</v>
      </c>
      <c r="AC24" s="167">
        <v>24</v>
      </c>
      <c r="AD24" s="196">
        <v>122</v>
      </c>
      <c r="AE24" s="167">
        <v>24</v>
      </c>
      <c r="AF24" s="167">
        <v>24</v>
      </c>
      <c r="AG24" s="162">
        <v>86</v>
      </c>
      <c r="AH24" s="161">
        <v>86</v>
      </c>
      <c r="AI24" s="161">
        <v>86</v>
      </c>
      <c r="AJ24" s="161">
        <v>86</v>
      </c>
      <c r="AK24" s="161">
        <v>86</v>
      </c>
      <c r="AL24" s="161">
        <v>86</v>
      </c>
      <c r="AM24" s="166">
        <v>69</v>
      </c>
      <c r="AN24" s="161">
        <v>86</v>
      </c>
      <c r="AO24" s="161">
        <v>86</v>
      </c>
      <c r="AP24" s="201">
        <v>48</v>
      </c>
      <c r="AQ24" s="201">
        <v>48</v>
      </c>
      <c r="AR24" s="201">
        <v>48</v>
      </c>
      <c r="AS24" s="201">
        <v>48</v>
      </c>
      <c r="AT24" s="201">
        <v>48</v>
      </c>
      <c r="AU24" s="201">
        <v>48</v>
      </c>
      <c r="AV24" s="201">
        <v>48</v>
      </c>
      <c r="AW24" s="201">
        <v>48</v>
      </c>
      <c r="AX24" s="202">
        <v>48</v>
      </c>
      <c r="AY24" s="201">
        <v>48</v>
      </c>
      <c r="AZ24" s="201">
        <v>48</v>
      </c>
      <c r="BA24" s="201">
        <v>48</v>
      </c>
      <c r="BB24" s="201">
        <v>48</v>
      </c>
      <c r="BC24" s="201">
        <v>48</v>
      </c>
      <c r="BD24" s="201">
        <v>48</v>
      </c>
      <c r="BE24" s="201">
        <v>48</v>
      </c>
      <c r="BF24" s="201">
        <v>48</v>
      </c>
      <c r="BG24" s="201">
        <v>48</v>
      </c>
      <c r="BH24" s="201">
        <v>48</v>
      </c>
      <c r="BI24" s="201">
        <v>48</v>
      </c>
      <c r="BJ24" s="201">
        <v>48</v>
      </c>
      <c r="BK24" s="201">
        <v>48</v>
      </c>
      <c r="BL24" s="201">
        <v>48</v>
      </c>
      <c r="BM24" s="203">
        <v>48</v>
      </c>
      <c r="BN24" s="201">
        <v>48</v>
      </c>
      <c r="BO24" s="201">
        <v>48</v>
      </c>
      <c r="BP24" s="201">
        <v>48</v>
      </c>
      <c r="BQ24" s="201">
        <v>48</v>
      </c>
      <c r="BR24" s="242">
        <v>87</v>
      </c>
      <c r="BS24" s="201">
        <v>48</v>
      </c>
      <c r="BT24" s="166">
        <v>69</v>
      </c>
      <c r="BU24" s="166">
        <v>69</v>
      </c>
      <c r="BV24" s="201">
        <v>48</v>
      </c>
      <c r="BW24" s="242">
        <v>87</v>
      </c>
      <c r="BX24" s="151">
        <v>85</v>
      </c>
      <c r="BY24" s="151">
        <v>85</v>
      </c>
      <c r="BZ24" s="151">
        <v>85</v>
      </c>
      <c r="CA24" s="151">
        <v>85</v>
      </c>
      <c r="CB24" s="151">
        <v>85</v>
      </c>
      <c r="CC24" s="242">
        <v>87</v>
      </c>
      <c r="CD24" s="242">
        <v>87</v>
      </c>
      <c r="CE24" s="243">
        <v>69</v>
      </c>
      <c r="CF24" s="242">
        <v>87</v>
      </c>
      <c r="CG24" s="171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42">
        <v>87</v>
      </c>
      <c r="CN24" s="25">
        <v>71</v>
      </c>
      <c r="CO24" s="180">
        <v>34</v>
      </c>
      <c r="CP24" s="159">
        <v>0</v>
      </c>
      <c r="CQ24" s="196">
        <v>122</v>
      </c>
      <c r="CR24" s="180">
        <v>34</v>
      </c>
      <c r="CS24" s="160">
        <v>0</v>
      </c>
      <c r="CT24" s="159">
        <v>0</v>
      </c>
      <c r="CU24" s="180">
        <v>34</v>
      </c>
      <c r="CV24" s="159">
        <v>0</v>
      </c>
      <c r="CW24" s="180">
        <v>34</v>
      </c>
      <c r="CX24" s="159">
        <v>0</v>
      </c>
      <c r="CY24" s="159">
        <v>0</v>
      </c>
      <c r="CZ24" s="180">
        <v>34</v>
      </c>
      <c r="DA24" s="159">
        <v>0</v>
      </c>
      <c r="DB24" s="53">
        <v>123</v>
      </c>
      <c r="DC24" s="159">
        <v>0</v>
      </c>
      <c r="DD24" s="233">
        <v>59</v>
      </c>
      <c r="DE24" s="159">
        <v>0</v>
      </c>
      <c r="DF24" s="159">
        <v>0</v>
      </c>
      <c r="DG24" s="159">
        <v>0</v>
      </c>
      <c r="DH24" s="159">
        <v>0</v>
      </c>
      <c r="DI24" s="160">
        <v>0</v>
      </c>
      <c r="DJ24" s="159">
        <v>0</v>
      </c>
      <c r="DK24" s="159">
        <v>0</v>
      </c>
      <c r="DL24" s="180">
        <v>34</v>
      </c>
      <c r="DM24" s="159">
        <v>0</v>
      </c>
      <c r="DN24" s="159">
        <v>0</v>
      </c>
      <c r="DO24" s="180">
        <v>34</v>
      </c>
      <c r="DP24" s="159">
        <v>0</v>
      </c>
      <c r="DQ24" s="180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9">
        <v>0</v>
      </c>
    </row>
    <row r="25" spans="2:129" s="218" customFormat="1" ht="20" customHeight="1" x14ac:dyDescent="0.15">
      <c r="B25" s="180">
        <v>34</v>
      </c>
      <c r="C25" s="180">
        <v>34</v>
      </c>
      <c r="D25" s="180">
        <v>34</v>
      </c>
      <c r="E25" s="180">
        <v>34</v>
      </c>
      <c r="F25" s="180">
        <v>34</v>
      </c>
      <c r="G25" s="178">
        <v>108</v>
      </c>
      <c r="H25" s="159">
        <v>0</v>
      </c>
      <c r="I25" s="178">
        <v>108</v>
      </c>
      <c r="J25" s="180">
        <v>34</v>
      </c>
      <c r="K25" s="180">
        <v>34</v>
      </c>
      <c r="L25" s="180">
        <v>34</v>
      </c>
      <c r="M25" s="180">
        <v>34</v>
      </c>
      <c r="N25" s="159">
        <v>0</v>
      </c>
      <c r="O25" s="159">
        <v>0</v>
      </c>
      <c r="P25" s="159">
        <v>0</v>
      </c>
      <c r="Q25" s="160">
        <v>0</v>
      </c>
      <c r="R25" s="159">
        <v>0</v>
      </c>
      <c r="S25" s="159">
        <v>0</v>
      </c>
      <c r="T25" s="159">
        <v>0</v>
      </c>
      <c r="U25" s="159">
        <v>0</v>
      </c>
      <c r="V25" s="159">
        <v>0</v>
      </c>
      <c r="W25" s="161">
        <v>80</v>
      </c>
      <c r="X25" s="161">
        <v>86</v>
      </c>
      <c r="Y25" s="167">
        <v>24</v>
      </c>
      <c r="Z25" s="161">
        <v>81</v>
      </c>
      <c r="AA25" s="161">
        <v>82</v>
      </c>
      <c r="AB25" s="161">
        <v>83</v>
      </c>
      <c r="AC25" s="167">
        <v>24</v>
      </c>
      <c r="AD25" s="200">
        <v>90</v>
      </c>
      <c r="AE25" s="167">
        <v>24</v>
      </c>
      <c r="AF25" s="167">
        <v>24</v>
      </c>
      <c r="AG25" s="207">
        <v>72</v>
      </c>
      <c r="AH25" s="171">
        <v>0</v>
      </c>
      <c r="AI25" s="171">
        <v>0</v>
      </c>
      <c r="AJ25" s="171">
        <v>0</v>
      </c>
      <c r="AK25" s="27">
        <v>96</v>
      </c>
      <c r="AL25" s="171">
        <v>0</v>
      </c>
      <c r="AM25" s="166">
        <v>69</v>
      </c>
      <c r="AN25" s="161">
        <v>86</v>
      </c>
      <c r="AO25" s="161">
        <v>86</v>
      </c>
      <c r="AP25" s="201">
        <v>49</v>
      </c>
      <c r="AQ25" s="201">
        <v>49</v>
      </c>
      <c r="AR25" s="201">
        <v>49</v>
      </c>
      <c r="AS25" s="201">
        <v>49</v>
      </c>
      <c r="AT25" s="201">
        <v>49</v>
      </c>
      <c r="AU25" s="201">
        <v>49</v>
      </c>
      <c r="AV25" s="201">
        <v>49</v>
      </c>
      <c r="AW25" s="201">
        <v>49</v>
      </c>
      <c r="AX25" s="202">
        <v>49</v>
      </c>
      <c r="AY25" s="201">
        <v>49</v>
      </c>
      <c r="AZ25" s="201">
        <v>49</v>
      </c>
      <c r="BA25" s="201">
        <v>49</v>
      </c>
      <c r="BB25" s="201">
        <v>49</v>
      </c>
      <c r="BC25" s="201">
        <v>49</v>
      </c>
      <c r="BD25" s="201">
        <v>49</v>
      </c>
      <c r="BE25" s="201">
        <v>49</v>
      </c>
      <c r="BF25" s="201">
        <v>49</v>
      </c>
      <c r="BG25" s="201">
        <v>49</v>
      </c>
      <c r="BH25" s="201">
        <v>49</v>
      </c>
      <c r="BI25" s="201">
        <v>49</v>
      </c>
      <c r="BJ25" s="201">
        <v>49</v>
      </c>
      <c r="BK25" s="201">
        <v>49</v>
      </c>
      <c r="BL25" s="201">
        <v>49</v>
      </c>
      <c r="BM25" s="203">
        <v>49</v>
      </c>
      <c r="BN25" s="201">
        <v>49</v>
      </c>
      <c r="BO25" s="201">
        <v>49</v>
      </c>
      <c r="BP25" s="201">
        <v>49</v>
      </c>
      <c r="BQ25" s="201">
        <v>49</v>
      </c>
      <c r="BR25" s="242">
        <v>87</v>
      </c>
      <c r="BS25" s="201">
        <v>49</v>
      </c>
      <c r="BT25" s="166">
        <v>69</v>
      </c>
      <c r="BU25" s="166">
        <v>69</v>
      </c>
      <c r="BV25" s="201">
        <v>48</v>
      </c>
      <c r="BW25" s="242">
        <v>87</v>
      </c>
      <c r="BX25" s="242">
        <v>87</v>
      </c>
      <c r="BY25" s="171">
        <v>0</v>
      </c>
      <c r="BZ25" s="242">
        <v>87</v>
      </c>
      <c r="CA25" s="171">
        <v>0</v>
      </c>
      <c r="CB25" s="171">
        <v>0</v>
      </c>
      <c r="CC25" s="242">
        <v>87</v>
      </c>
      <c r="CD25" s="242">
        <v>87</v>
      </c>
      <c r="CE25" s="243">
        <v>69</v>
      </c>
      <c r="CF25" s="242">
        <v>87</v>
      </c>
      <c r="CG25" s="166">
        <v>69</v>
      </c>
      <c r="CH25" s="166">
        <v>69</v>
      </c>
      <c r="CI25" s="166">
        <v>69</v>
      </c>
      <c r="CJ25" s="166">
        <v>69</v>
      </c>
      <c r="CK25" s="166">
        <v>69</v>
      </c>
      <c r="CL25" s="166">
        <v>69</v>
      </c>
      <c r="CM25" s="242">
        <v>87</v>
      </c>
      <c r="CN25" s="25">
        <v>71</v>
      </c>
      <c r="CO25" s="180">
        <v>34</v>
      </c>
      <c r="CP25" s="159">
        <v>0</v>
      </c>
      <c r="CQ25" s="200">
        <v>90</v>
      </c>
      <c r="CR25" s="180">
        <v>34</v>
      </c>
      <c r="CS25" s="160">
        <v>0</v>
      </c>
      <c r="CT25" s="159">
        <v>0</v>
      </c>
      <c r="CU25" s="180">
        <v>34</v>
      </c>
      <c r="CV25" s="159">
        <v>0</v>
      </c>
      <c r="CW25" s="180">
        <v>34</v>
      </c>
      <c r="CX25" s="159">
        <v>0</v>
      </c>
      <c r="CY25" s="159">
        <v>0</v>
      </c>
      <c r="CZ25" s="180">
        <v>34</v>
      </c>
      <c r="DA25" s="159">
        <v>0</v>
      </c>
      <c r="DB25" s="85">
        <v>90</v>
      </c>
      <c r="DC25" s="159">
        <v>0</v>
      </c>
      <c r="DD25" s="159">
        <v>0</v>
      </c>
      <c r="DE25" s="159">
        <v>0</v>
      </c>
      <c r="DF25" s="159">
        <v>0</v>
      </c>
      <c r="DG25" s="159">
        <v>0</v>
      </c>
      <c r="DH25" s="159">
        <v>0</v>
      </c>
      <c r="DI25" s="160">
        <v>0</v>
      </c>
      <c r="DJ25" s="159">
        <v>0</v>
      </c>
      <c r="DK25" s="159">
        <v>0</v>
      </c>
      <c r="DL25" s="180">
        <v>34</v>
      </c>
      <c r="DM25" s="159">
        <v>0</v>
      </c>
      <c r="DN25" s="159">
        <v>0</v>
      </c>
      <c r="DO25" s="180">
        <v>34</v>
      </c>
      <c r="DP25" s="159">
        <v>0</v>
      </c>
      <c r="DQ25" s="180">
        <v>34</v>
      </c>
      <c r="DR25" s="159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9">
        <v>0</v>
      </c>
      <c r="DY25" s="159">
        <v>0</v>
      </c>
    </row>
    <row r="26" spans="2:129" s="218" customFormat="1" ht="20" customHeight="1" x14ac:dyDescent="0.15">
      <c r="B26" s="209">
        <v>33</v>
      </c>
      <c r="C26" s="209">
        <v>33</v>
      </c>
      <c r="D26" s="209">
        <v>33</v>
      </c>
      <c r="E26" s="209">
        <v>33</v>
      </c>
      <c r="F26" s="209">
        <v>33</v>
      </c>
      <c r="G26" s="169">
        <v>40</v>
      </c>
      <c r="H26" s="159">
        <v>0</v>
      </c>
      <c r="I26" s="169">
        <v>40</v>
      </c>
      <c r="J26" s="209">
        <v>33</v>
      </c>
      <c r="K26" s="209">
        <v>33</v>
      </c>
      <c r="L26" s="209">
        <v>33</v>
      </c>
      <c r="M26" s="209">
        <v>33</v>
      </c>
      <c r="N26" s="169">
        <v>40</v>
      </c>
      <c r="O26" s="169">
        <v>40</v>
      </c>
      <c r="P26" s="159">
        <v>0</v>
      </c>
      <c r="Q26" s="160">
        <v>0</v>
      </c>
      <c r="R26" s="210">
        <v>11</v>
      </c>
      <c r="S26" s="210">
        <v>12</v>
      </c>
      <c r="T26" s="159">
        <v>0</v>
      </c>
      <c r="U26" s="210">
        <v>11</v>
      </c>
      <c r="V26" s="210">
        <v>12</v>
      </c>
      <c r="W26" s="211">
        <v>30</v>
      </c>
      <c r="X26" s="161">
        <v>86</v>
      </c>
      <c r="Y26" s="161">
        <v>81</v>
      </c>
      <c r="Z26" s="161">
        <v>82</v>
      </c>
      <c r="AA26" s="161">
        <v>82</v>
      </c>
      <c r="AB26" s="161">
        <v>83</v>
      </c>
      <c r="AC26" s="167">
        <v>24</v>
      </c>
      <c r="AD26" s="27">
        <v>96</v>
      </c>
      <c r="AE26" s="167">
        <v>24</v>
      </c>
      <c r="AF26" s="161">
        <v>86</v>
      </c>
      <c r="AG26" s="162">
        <v>86</v>
      </c>
      <c r="AH26" s="161">
        <v>86</v>
      </c>
      <c r="AI26" s="169">
        <v>40</v>
      </c>
      <c r="AJ26" s="171">
        <v>0</v>
      </c>
      <c r="AK26" s="171">
        <v>0</v>
      </c>
      <c r="AL26" s="169">
        <v>40</v>
      </c>
      <c r="AM26" s="166">
        <v>69</v>
      </c>
      <c r="AN26" s="161">
        <v>86</v>
      </c>
      <c r="AO26" s="161">
        <v>86</v>
      </c>
      <c r="AP26" s="161">
        <v>86</v>
      </c>
      <c r="AQ26" s="201">
        <v>49</v>
      </c>
      <c r="AR26" s="201">
        <v>49</v>
      </c>
      <c r="AS26" s="201">
        <v>49</v>
      </c>
      <c r="AT26" s="201">
        <v>49</v>
      </c>
      <c r="AU26" s="201">
        <v>49</v>
      </c>
      <c r="AV26" s="201">
        <v>49</v>
      </c>
      <c r="AW26" s="201">
        <v>49</v>
      </c>
      <c r="AX26" s="202">
        <v>49</v>
      </c>
      <c r="AY26" s="201">
        <v>49</v>
      </c>
      <c r="AZ26" s="201">
        <v>49</v>
      </c>
      <c r="BA26" s="201">
        <v>49</v>
      </c>
      <c r="BB26" s="201">
        <v>49</v>
      </c>
      <c r="BC26" s="201">
        <v>49</v>
      </c>
      <c r="BD26" s="201">
        <v>49</v>
      </c>
      <c r="BE26" s="201">
        <v>49</v>
      </c>
      <c r="BF26" s="201">
        <v>49</v>
      </c>
      <c r="BG26" s="201">
        <v>49</v>
      </c>
      <c r="BH26" s="201">
        <v>49</v>
      </c>
      <c r="BI26" s="201">
        <v>49</v>
      </c>
      <c r="BJ26" s="201">
        <v>49</v>
      </c>
      <c r="BK26" s="201">
        <v>49</v>
      </c>
      <c r="BL26" s="201">
        <v>49</v>
      </c>
      <c r="BM26" s="203">
        <v>49</v>
      </c>
      <c r="BN26" s="201">
        <v>49</v>
      </c>
      <c r="BO26" s="201">
        <v>49</v>
      </c>
      <c r="BP26" s="201">
        <v>49</v>
      </c>
      <c r="BQ26" s="242">
        <v>87</v>
      </c>
      <c r="BR26" s="242">
        <v>87</v>
      </c>
      <c r="BS26" s="242">
        <v>87</v>
      </c>
      <c r="BT26" s="166">
        <v>69</v>
      </c>
      <c r="BU26" s="166">
        <v>69</v>
      </c>
      <c r="BV26" s="242">
        <v>87</v>
      </c>
      <c r="BW26" s="242">
        <v>87</v>
      </c>
      <c r="BX26" s="242">
        <v>87</v>
      </c>
      <c r="BY26" s="169">
        <v>40</v>
      </c>
      <c r="BZ26" s="199">
        <v>73</v>
      </c>
      <c r="CA26" s="169">
        <v>40</v>
      </c>
      <c r="CB26" s="183">
        <v>46</v>
      </c>
      <c r="CC26" s="242">
        <v>87</v>
      </c>
      <c r="CD26" s="242">
        <v>87</v>
      </c>
      <c r="CE26" s="243">
        <v>69</v>
      </c>
      <c r="CF26" s="242">
        <v>87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42">
        <v>87</v>
      </c>
      <c r="CN26" s="25">
        <v>71</v>
      </c>
      <c r="CO26" s="209">
        <v>33</v>
      </c>
      <c r="CP26" s="169">
        <v>40</v>
      </c>
      <c r="CQ26" s="188">
        <v>31</v>
      </c>
      <c r="CR26" s="209">
        <v>33</v>
      </c>
      <c r="CS26" s="188">
        <v>31</v>
      </c>
      <c r="CT26" s="244">
        <v>31</v>
      </c>
      <c r="CU26" s="209">
        <v>33</v>
      </c>
      <c r="CV26" s="169">
        <v>40</v>
      </c>
      <c r="CW26" s="209">
        <v>33</v>
      </c>
      <c r="CX26" s="159">
        <v>0</v>
      </c>
      <c r="CY26" s="169">
        <v>40</v>
      </c>
      <c r="CZ26" s="209">
        <v>33</v>
      </c>
      <c r="DA26" s="188">
        <v>31</v>
      </c>
      <c r="DB26" s="188">
        <v>31</v>
      </c>
      <c r="DC26" s="188">
        <v>31</v>
      </c>
      <c r="DD26" s="188">
        <v>31</v>
      </c>
      <c r="DE26" s="165">
        <v>54</v>
      </c>
      <c r="DF26" s="165">
        <v>55</v>
      </c>
      <c r="DG26" s="165">
        <v>55</v>
      </c>
      <c r="DH26" s="165">
        <v>54</v>
      </c>
      <c r="DI26" s="188">
        <v>31</v>
      </c>
      <c r="DJ26" s="244">
        <v>31</v>
      </c>
      <c r="DK26" s="188">
        <v>31</v>
      </c>
      <c r="DL26" s="209">
        <v>33</v>
      </c>
      <c r="DM26" s="159">
        <v>0</v>
      </c>
      <c r="DN26" s="159">
        <v>0</v>
      </c>
      <c r="DO26" s="209">
        <v>33</v>
      </c>
      <c r="DP26" s="244">
        <v>31</v>
      </c>
      <c r="DQ26" s="209">
        <v>33</v>
      </c>
      <c r="DR26" s="188">
        <v>31</v>
      </c>
      <c r="DS26" s="55">
        <v>13</v>
      </c>
      <c r="DT26" s="55">
        <v>13</v>
      </c>
      <c r="DU26" s="102">
        <v>57</v>
      </c>
      <c r="DV26" s="55">
        <v>13</v>
      </c>
      <c r="DW26" s="55">
        <v>13</v>
      </c>
      <c r="DX26" s="188">
        <v>31</v>
      </c>
      <c r="DY26" s="188">
        <v>31</v>
      </c>
    </row>
    <row r="27" spans="2:129" s="218" customFormat="1" ht="20" customHeight="1" x14ac:dyDescent="0.15">
      <c r="B27" s="161">
        <v>82</v>
      </c>
      <c r="C27" s="161">
        <v>82</v>
      </c>
      <c r="D27" s="161">
        <v>82</v>
      </c>
      <c r="E27" s="161">
        <v>82</v>
      </c>
      <c r="F27" s="161">
        <v>82</v>
      </c>
      <c r="G27" s="161">
        <v>82</v>
      </c>
      <c r="H27" s="161">
        <v>82</v>
      </c>
      <c r="I27" s="161">
        <v>82</v>
      </c>
      <c r="J27" s="161">
        <v>82</v>
      </c>
      <c r="K27" s="161">
        <v>82</v>
      </c>
      <c r="L27" s="161">
        <v>82</v>
      </c>
      <c r="M27" s="161">
        <v>82</v>
      </c>
      <c r="N27" s="161">
        <v>82</v>
      </c>
      <c r="O27" s="161">
        <v>82</v>
      </c>
      <c r="P27" s="161">
        <v>82</v>
      </c>
      <c r="Q27" s="162">
        <v>82</v>
      </c>
      <c r="R27" s="161">
        <v>82</v>
      </c>
      <c r="S27" s="161">
        <v>83</v>
      </c>
      <c r="T27" s="166">
        <v>69</v>
      </c>
      <c r="U27" s="161">
        <v>81</v>
      </c>
      <c r="V27" s="161">
        <v>82</v>
      </c>
      <c r="W27" s="161">
        <v>82</v>
      </c>
      <c r="X27" s="161">
        <v>82</v>
      </c>
      <c r="Y27" s="161">
        <v>82</v>
      </c>
      <c r="Z27" s="161">
        <v>82</v>
      </c>
      <c r="AA27" s="161">
        <v>82</v>
      </c>
      <c r="AB27" s="161">
        <v>82</v>
      </c>
      <c r="AC27" s="161">
        <v>82</v>
      </c>
      <c r="AD27" s="161">
        <v>83</v>
      </c>
      <c r="AE27" s="166">
        <v>69</v>
      </c>
      <c r="AF27" s="161">
        <v>86</v>
      </c>
      <c r="AG27" s="162">
        <v>86</v>
      </c>
      <c r="AH27" s="161">
        <v>86</v>
      </c>
      <c r="AI27" s="161">
        <v>86</v>
      </c>
      <c r="AJ27" s="166">
        <v>69</v>
      </c>
      <c r="AK27" s="161">
        <v>86</v>
      </c>
      <c r="AL27" s="161">
        <v>86</v>
      </c>
      <c r="AM27" s="161">
        <v>86</v>
      </c>
      <c r="AN27" s="161">
        <v>86</v>
      </c>
      <c r="AO27" s="161">
        <v>86</v>
      </c>
      <c r="AP27" s="161">
        <v>86</v>
      </c>
      <c r="AQ27" s="161">
        <v>81</v>
      </c>
      <c r="AR27" s="161">
        <v>82</v>
      </c>
      <c r="AS27" s="161">
        <v>82</v>
      </c>
      <c r="AT27" s="161">
        <v>82</v>
      </c>
      <c r="AU27" s="161">
        <v>82</v>
      </c>
      <c r="AV27" s="161">
        <v>82</v>
      </c>
      <c r="AW27" s="161">
        <v>82</v>
      </c>
      <c r="AX27" s="161">
        <v>82</v>
      </c>
      <c r="AY27" s="161">
        <v>82</v>
      </c>
      <c r="AZ27" s="161">
        <v>82</v>
      </c>
      <c r="BA27" s="161">
        <v>82</v>
      </c>
      <c r="BB27" s="161">
        <v>82</v>
      </c>
      <c r="BC27" s="161">
        <v>82</v>
      </c>
      <c r="BD27" s="161">
        <v>82</v>
      </c>
      <c r="BE27" s="161">
        <v>82</v>
      </c>
      <c r="BF27" s="161">
        <v>82</v>
      </c>
      <c r="BG27" s="161">
        <v>82</v>
      </c>
      <c r="BH27" s="161">
        <v>82</v>
      </c>
      <c r="BI27" s="161">
        <v>82</v>
      </c>
      <c r="BJ27" s="161">
        <v>82</v>
      </c>
      <c r="BK27" s="161">
        <v>82</v>
      </c>
      <c r="BL27" s="161">
        <v>82</v>
      </c>
      <c r="BM27" s="161">
        <v>82</v>
      </c>
      <c r="BN27" s="161">
        <v>82</v>
      </c>
      <c r="BO27" s="161">
        <v>82</v>
      </c>
      <c r="BP27" s="161">
        <v>83</v>
      </c>
      <c r="BQ27" s="242">
        <v>87</v>
      </c>
      <c r="BR27" s="242">
        <v>87</v>
      </c>
      <c r="BS27" s="242">
        <v>87</v>
      </c>
      <c r="BT27" s="166">
        <v>69</v>
      </c>
      <c r="BU27" s="166">
        <v>69</v>
      </c>
      <c r="BV27" s="242">
        <v>87</v>
      </c>
      <c r="BW27" s="242">
        <v>87</v>
      </c>
      <c r="BX27" s="242">
        <v>87</v>
      </c>
      <c r="BY27" s="242">
        <v>87</v>
      </c>
      <c r="BZ27" s="242">
        <v>87</v>
      </c>
      <c r="CA27" s="242">
        <v>87</v>
      </c>
      <c r="CB27" s="242">
        <v>87</v>
      </c>
      <c r="CC27" s="242">
        <v>87</v>
      </c>
      <c r="CD27" s="242">
        <v>87</v>
      </c>
      <c r="CE27" s="243">
        <v>69</v>
      </c>
      <c r="CF27" s="242">
        <v>87</v>
      </c>
      <c r="CG27" s="242">
        <v>87</v>
      </c>
      <c r="CH27" s="242">
        <v>87</v>
      </c>
      <c r="CI27" s="242">
        <v>87</v>
      </c>
      <c r="CJ27" s="242">
        <v>87</v>
      </c>
      <c r="CK27" s="242">
        <v>87</v>
      </c>
      <c r="CL27" s="242">
        <v>87</v>
      </c>
      <c r="CM27" s="242">
        <v>87</v>
      </c>
      <c r="CN27" s="161">
        <v>81</v>
      </c>
      <c r="CO27" s="161">
        <v>82</v>
      </c>
      <c r="CP27" s="161">
        <v>82</v>
      </c>
      <c r="CQ27" s="161">
        <v>82</v>
      </c>
      <c r="CR27" s="161">
        <v>82</v>
      </c>
      <c r="CS27" s="162">
        <v>82</v>
      </c>
      <c r="CT27" s="161">
        <v>82</v>
      </c>
      <c r="CU27" s="161">
        <v>82</v>
      </c>
      <c r="CV27" s="161">
        <v>82</v>
      </c>
      <c r="CW27" s="161">
        <v>82</v>
      </c>
      <c r="CX27" s="161">
        <v>82</v>
      </c>
      <c r="CY27" s="161">
        <v>82</v>
      </c>
      <c r="CZ27" s="161">
        <v>82</v>
      </c>
      <c r="DA27" s="161">
        <v>82</v>
      </c>
      <c r="DB27" s="161">
        <v>82</v>
      </c>
      <c r="DC27" s="161">
        <v>82</v>
      </c>
      <c r="DD27" s="161">
        <v>82</v>
      </c>
      <c r="DE27" s="161">
        <v>82</v>
      </c>
      <c r="DF27" s="161">
        <v>82</v>
      </c>
      <c r="DG27" s="161">
        <v>82</v>
      </c>
      <c r="DH27" s="161">
        <v>82</v>
      </c>
      <c r="DI27" s="162">
        <v>82</v>
      </c>
      <c r="DJ27" s="161">
        <v>82</v>
      </c>
      <c r="DK27" s="161">
        <v>82</v>
      </c>
      <c r="DL27" s="161">
        <v>83</v>
      </c>
      <c r="DM27" s="214">
        <v>50</v>
      </c>
      <c r="DN27" s="214">
        <v>50</v>
      </c>
      <c r="DO27" s="161">
        <v>81</v>
      </c>
      <c r="DP27" s="161">
        <v>82</v>
      </c>
      <c r="DQ27" s="161">
        <v>82</v>
      </c>
      <c r="DR27" s="161">
        <v>81</v>
      </c>
      <c r="DS27" s="161">
        <v>82</v>
      </c>
      <c r="DT27" s="161">
        <v>82</v>
      </c>
      <c r="DU27" s="161">
        <v>82</v>
      </c>
      <c r="DV27" s="161">
        <v>82</v>
      </c>
      <c r="DW27" s="161">
        <v>82</v>
      </c>
      <c r="DX27" s="161">
        <v>82</v>
      </c>
      <c r="DY27" s="161">
        <v>82</v>
      </c>
    </row>
    <row r="28" spans="2:129" s="218" customFormat="1" ht="20" customHeight="1" x14ac:dyDescent="0.15">
      <c r="B28" s="161">
        <v>78</v>
      </c>
      <c r="C28" s="161">
        <v>78</v>
      </c>
      <c r="D28" s="161">
        <v>78</v>
      </c>
      <c r="E28" s="161">
        <v>78</v>
      </c>
      <c r="F28" s="161">
        <v>78</v>
      </c>
      <c r="G28" s="161">
        <v>78</v>
      </c>
      <c r="H28" s="161">
        <v>78</v>
      </c>
      <c r="I28" s="161">
        <v>78</v>
      </c>
      <c r="J28" s="161">
        <v>78</v>
      </c>
      <c r="K28" s="161">
        <v>78</v>
      </c>
      <c r="L28" s="161">
        <v>78</v>
      </c>
      <c r="M28" s="161">
        <v>78</v>
      </c>
      <c r="N28" s="161">
        <v>78</v>
      </c>
      <c r="O28" s="161">
        <v>78</v>
      </c>
      <c r="P28" s="161">
        <v>78</v>
      </c>
      <c r="Q28" s="162">
        <v>78</v>
      </c>
      <c r="R28" s="161">
        <v>78</v>
      </c>
      <c r="S28" s="161">
        <v>78</v>
      </c>
      <c r="T28" s="166">
        <v>69</v>
      </c>
      <c r="U28" s="161">
        <v>78</v>
      </c>
      <c r="V28" s="161">
        <v>78</v>
      </c>
      <c r="W28" s="161">
        <v>78</v>
      </c>
      <c r="X28" s="161">
        <v>78</v>
      </c>
      <c r="Y28" s="161">
        <v>78</v>
      </c>
      <c r="Z28" s="161">
        <v>78</v>
      </c>
      <c r="AA28" s="161">
        <v>78</v>
      </c>
      <c r="AB28" s="161">
        <v>78</v>
      </c>
      <c r="AC28" s="161">
        <v>78</v>
      </c>
      <c r="AD28" s="161">
        <v>78</v>
      </c>
      <c r="AE28" s="166">
        <v>69</v>
      </c>
      <c r="AF28" s="161">
        <v>78</v>
      </c>
      <c r="AG28" s="162">
        <v>78</v>
      </c>
      <c r="AH28" s="151">
        <v>85</v>
      </c>
      <c r="AI28" s="151">
        <v>85</v>
      </c>
      <c r="AJ28" s="166">
        <v>69</v>
      </c>
      <c r="AK28" s="151">
        <v>85</v>
      </c>
      <c r="AL28" s="151">
        <v>85</v>
      </c>
      <c r="AM28" s="151">
        <v>85</v>
      </c>
      <c r="AN28" s="151">
        <v>85</v>
      </c>
      <c r="AO28" s="151">
        <v>85</v>
      </c>
      <c r="AP28" s="151">
        <v>85</v>
      </c>
      <c r="AQ28" s="151">
        <v>85</v>
      </c>
      <c r="AR28" s="151">
        <v>85</v>
      </c>
      <c r="AS28" s="151">
        <v>85</v>
      </c>
      <c r="AT28" s="151">
        <v>85</v>
      </c>
      <c r="AU28" s="151">
        <v>85</v>
      </c>
      <c r="AV28" s="151">
        <v>85</v>
      </c>
      <c r="AW28" s="151">
        <v>85</v>
      </c>
      <c r="AX28" s="151">
        <v>85</v>
      </c>
      <c r="AY28" s="151">
        <v>85</v>
      </c>
      <c r="AZ28" s="151">
        <v>85</v>
      </c>
      <c r="BA28" s="151">
        <v>85</v>
      </c>
      <c r="BB28" s="151">
        <v>85</v>
      </c>
      <c r="BC28" s="151">
        <v>85</v>
      </c>
      <c r="BD28" s="151">
        <v>85</v>
      </c>
      <c r="BE28" s="151">
        <v>85</v>
      </c>
      <c r="BF28" s="151">
        <v>85</v>
      </c>
      <c r="BG28" s="151">
        <v>85</v>
      </c>
      <c r="BH28" s="151">
        <v>85</v>
      </c>
      <c r="BI28" s="151">
        <v>85</v>
      </c>
      <c r="BJ28" s="151">
        <v>85</v>
      </c>
      <c r="BK28" s="151">
        <v>85</v>
      </c>
      <c r="BL28" s="151">
        <v>85</v>
      </c>
      <c r="BM28" s="151">
        <v>85</v>
      </c>
      <c r="BN28" s="151">
        <v>85</v>
      </c>
      <c r="BO28" s="151">
        <v>85</v>
      </c>
      <c r="BP28" s="151">
        <v>85</v>
      </c>
      <c r="BQ28" s="151">
        <v>85</v>
      </c>
      <c r="BR28" s="151">
        <v>85</v>
      </c>
      <c r="BS28" s="151">
        <v>85</v>
      </c>
      <c r="BT28" s="166">
        <v>69</v>
      </c>
      <c r="BU28" s="166">
        <v>69</v>
      </c>
      <c r="BV28" s="151">
        <v>85</v>
      </c>
      <c r="BW28" s="151">
        <v>85</v>
      </c>
      <c r="BX28" s="151">
        <v>85</v>
      </c>
      <c r="BY28" s="151">
        <v>85</v>
      </c>
      <c r="BZ28" s="151">
        <v>85</v>
      </c>
      <c r="CA28" s="151">
        <v>85</v>
      </c>
      <c r="CB28" s="151">
        <v>85</v>
      </c>
      <c r="CC28" s="151">
        <v>85</v>
      </c>
      <c r="CD28" s="151">
        <v>85</v>
      </c>
      <c r="CE28" s="243">
        <v>69</v>
      </c>
      <c r="CF28" s="242">
        <v>87</v>
      </c>
      <c r="CG28" s="151">
        <v>85</v>
      </c>
      <c r="CH28" s="151">
        <v>85</v>
      </c>
      <c r="CI28" s="151">
        <v>85</v>
      </c>
      <c r="CJ28" s="151">
        <v>85</v>
      </c>
      <c r="CK28" s="151">
        <v>85</v>
      </c>
      <c r="CL28" s="151">
        <v>85</v>
      </c>
      <c r="CM28" s="151">
        <v>85</v>
      </c>
      <c r="CN28" s="151">
        <v>85</v>
      </c>
      <c r="CO28" s="151">
        <v>85</v>
      </c>
      <c r="CP28" s="151">
        <v>85</v>
      </c>
      <c r="CQ28" s="151">
        <v>85</v>
      </c>
      <c r="CR28" s="151">
        <v>85</v>
      </c>
      <c r="CS28" s="151">
        <v>85</v>
      </c>
      <c r="CT28" s="242">
        <v>85</v>
      </c>
      <c r="CU28" s="151">
        <v>85</v>
      </c>
      <c r="CV28" s="151">
        <v>85</v>
      </c>
      <c r="CW28" s="151">
        <v>85</v>
      </c>
      <c r="CX28" s="151">
        <v>85</v>
      </c>
      <c r="CY28" s="151">
        <v>85</v>
      </c>
      <c r="CZ28" s="151">
        <v>85</v>
      </c>
      <c r="DA28" s="151">
        <v>85</v>
      </c>
      <c r="DB28" s="151">
        <v>85</v>
      </c>
      <c r="DC28" s="151">
        <v>85</v>
      </c>
      <c r="DD28" s="151">
        <v>85</v>
      </c>
      <c r="DE28" s="151">
        <v>85</v>
      </c>
      <c r="DF28" s="151">
        <v>85</v>
      </c>
      <c r="DG28" s="151">
        <v>85</v>
      </c>
      <c r="DH28" s="151">
        <v>85</v>
      </c>
      <c r="DI28" s="151">
        <v>85</v>
      </c>
      <c r="DJ28" s="242">
        <v>85</v>
      </c>
      <c r="DK28" s="151">
        <v>85</v>
      </c>
      <c r="DL28" s="151">
        <v>85</v>
      </c>
      <c r="DM28" s="151">
        <v>85</v>
      </c>
      <c r="DN28" s="151">
        <v>85</v>
      </c>
      <c r="DO28" s="151">
        <v>85</v>
      </c>
      <c r="DP28" s="151">
        <v>85</v>
      </c>
      <c r="DQ28" s="151">
        <v>85</v>
      </c>
      <c r="DR28" s="151">
        <v>85</v>
      </c>
      <c r="DS28" s="151">
        <v>85</v>
      </c>
      <c r="DT28" s="151">
        <v>85</v>
      </c>
      <c r="DU28" s="151">
        <v>85</v>
      </c>
      <c r="DV28" s="151">
        <v>85</v>
      </c>
      <c r="DW28" s="151">
        <v>85</v>
      </c>
      <c r="DX28" s="151">
        <v>85</v>
      </c>
      <c r="DY28" s="151">
        <v>85</v>
      </c>
    </row>
    <row r="29" spans="2:129" s="218" customFormat="1" ht="20" customHeight="1" x14ac:dyDescent="0.15">
      <c r="B29" s="161">
        <v>78</v>
      </c>
      <c r="C29" s="173">
        <v>28</v>
      </c>
      <c r="D29" s="171">
        <v>0</v>
      </c>
      <c r="E29" s="171">
        <v>0</v>
      </c>
      <c r="F29" s="171">
        <v>0</v>
      </c>
      <c r="G29" s="174">
        <v>35</v>
      </c>
      <c r="H29" s="171">
        <v>0</v>
      </c>
      <c r="I29" s="171">
        <v>0</v>
      </c>
      <c r="J29" s="171">
        <v>0</v>
      </c>
      <c r="K29" s="171">
        <v>0</v>
      </c>
      <c r="L29" s="174">
        <v>35</v>
      </c>
      <c r="M29" s="171">
        <v>0</v>
      </c>
      <c r="N29" s="171">
        <v>0</v>
      </c>
      <c r="O29" s="171">
        <v>0</v>
      </c>
      <c r="P29" s="171">
        <v>0</v>
      </c>
      <c r="Q29" s="175">
        <v>0</v>
      </c>
      <c r="R29" s="171">
        <v>0</v>
      </c>
      <c r="S29" s="171">
        <v>0</v>
      </c>
      <c r="T29" s="166">
        <v>69</v>
      </c>
      <c r="U29" s="171">
        <v>0</v>
      </c>
      <c r="V29" s="171">
        <v>0</v>
      </c>
      <c r="W29" s="171">
        <v>0</v>
      </c>
      <c r="X29" s="171">
        <v>0</v>
      </c>
      <c r="Y29" s="171">
        <v>0</v>
      </c>
      <c r="Z29" s="171">
        <v>0</v>
      </c>
      <c r="AA29" s="171">
        <v>0</v>
      </c>
      <c r="AB29" s="171">
        <v>0</v>
      </c>
      <c r="AC29" s="171">
        <v>0</v>
      </c>
      <c r="AD29" s="176">
        <v>113</v>
      </c>
      <c r="AE29" s="166">
        <v>69</v>
      </c>
      <c r="AF29" s="173">
        <v>27</v>
      </c>
      <c r="AG29" s="162">
        <v>78</v>
      </c>
      <c r="AH29" s="151">
        <v>85</v>
      </c>
      <c r="AI29" s="173">
        <v>28</v>
      </c>
      <c r="AJ29" s="166">
        <v>69</v>
      </c>
      <c r="AK29" s="171">
        <v>0</v>
      </c>
      <c r="AL29" s="57">
        <v>52</v>
      </c>
      <c r="AM29" s="171">
        <v>0</v>
      </c>
      <c r="AN29" s="171">
        <v>0</v>
      </c>
      <c r="AO29" s="57">
        <v>52</v>
      </c>
      <c r="AP29" s="171">
        <v>0</v>
      </c>
      <c r="AQ29" s="171">
        <v>0</v>
      </c>
      <c r="AR29" s="57">
        <v>52</v>
      </c>
      <c r="AS29" s="171">
        <v>0</v>
      </c>
      <c r="AT29" s="171">
        <v>0</v>
      </c>
      <c r="AU29" s="57">
        <v>52</v>
      </c>
      <c r="AV29" s="171">
        <v>0</v>
      </c>
      <c r="AW29" s="171">
        <v>0</v>
      </c>
      <c r="AX29" s="57">
        <v>52</v>
      </c>
      <c r="AY29" s="171">
        <v>0</v>
      </c>
      <c r="AZ29" s="171">
        <v>0</v>
      </c>
      <c r="BA29" s="57">
        <v>52</v>
      </c>
      <c r="BB29" s="53">
        <v>123</v>
      </c>
      <c r="BC29" s="196">
        <v>122</v>
      </c>
      <c r="BD29" s="57">
        <v>52</v>
      </c>
      <c r="BE29" s="171">
        <v>0</v>
      </c>
      <c r="BF29" s="171">
        <v>0</v>
      </c>
      <c r="BG29" s="57">
        <v>52</v>
      </c>
      <c r="BH29" s="171">
        <v>0</v>
      </c>
      <c r="BI29" s="171">
        <v>0</v>
      </c>
      <c r="BJ29" s="57">
        <v>52</v>
      </c>
      <c r="BK29" s="171">
        <v>0</v>
      </c>
      <c r="BL29" s="171">
        <v>0</v>
      </c>
      <c r="BM29" s="57">
        <v>52</v>
      </c>
      <c r="BN29" s="171">
        <v>0</v>
      </c>
      <c r="BO29" s="171">
        <v>0</v>
      </c>
      <c r="BP29" s="171">
        <v>0</v>
      </c>
      <c r="BQ29" s="171">
        <v>0</v>
      </c>
      <c r="BR29" s="171">
        <v>0</v>
      </c>
      <c r="BS29" s="149">
        <v>125</v>
      </c>
      <c r="BT29" s="166">
        <v>69</v>
      </c>
      <c r="BU29" s="166">
        <v>69</v>
      </c>
      <c r="BV29" s="178">
        <v>108</v>
      </c>
      <c r="BW29" s="57">
        <v>52</v>
      </c>
      <c r="BX29" s="171">
        <v>0</v>
      </c>
      <c r="BY29" s="57">
        <v>52</v>
      </c>
      <c r="BZ29" s="171">
        <v>0</v>
      </c>
      <c r="CA29" s="57">
        <v>52</v>
      </c>
      <c r="CB29" s="178">
        <v>108</v>
      </c>
      <c r="CC29" s="151">
        <v>87</v>
      </c>
      <c r="CD29" s="151">
        <v>87</v>
      </c>
      <c r="CE29" s="190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34">
        <v>52</v>
      </c>
      <c r="CL29" s="208">
        <v>0</v>
      </c>
      <c r="CM29" s="208">
        <v>0</v>
      </c>
      <c r="CN29" s="235">
        <v>25</v>
      </c>
      <c r="CO29" s="171">
        <v>0</v>
      </c>
      <c r="CP29" s="7">
        <v>118</v>
      </c>
      <c r="CQ29" s="171">
        <v>0</v>
      </c>
      <c r="CR29" s="7">
        <v>118</v>
      </c>
      <c r="CS29" s="175">
        <v>0</v>
      </c>
      <c r="CT29" s="57">
        <v>52</v>
      </c>
      <c r="CU29" s="171">
        <v>0</v>
      </c>
      <c r="CV29" s="57">
        <v>52</v>
      </c>
      <c r="CW29" s="171">
        <v>0</v>
      </c>
      <c r="CX29" s="57">
        <v>52</v>
      </c>
      <c r="CY29" s="171">
        <v>0</v>
      </c>
      <c r="CZ29" s="57">
        <v>52</v>
      </c>
      <c r="DA29" s="179">
        <v>25</v>
      </c>
      <c r="DB29" s="57">
        <v>52</v>
      </c>
      <c r="DC29" s="171">
        <v>0</v>
      </c>
      <c r="DD29" s="57">
        <v>52</v>
      </c>
      <c r="DE29" s="171">
        <v>0</v>
      </c>
      <c r="DF29" s="57">
        <v>52</v>
      </c>
      <c r="DG29" s="171">
        <v>0</v>
      </c>
      <c r="DH29" s="57">
        <v>52</v>
      </c>
      <c r="DI29" s="175">
        <v>0</v>
      </c>
      <c r="DJ29" s="57">
        <v>52</v>
      </c>
      <c r="DK29" s="171">
        <v>0</v>
      </c>
      <c r="DL29" s="57">
        <v>52</v>
      </c>
      <c r="DM29" s="171">
        <v>0</v>
      </c>
      <c r="DN29" s="57">
        <v>52</v>
      </c>
      <c r="DO29" s="171">
        <v>0</v>
      </c>
      <c r="DP29" s="57">
        <v>52</v>
      </c>
      <c r="DQ29" s="171">
        <v>0</v>
      </c>
      <c r="DR29" s="57">
        <v>52</v>
      </c>
      <c r="DS29" s="171">
        <v>0</v>
      </c>
      <c r="DT29" s="173">
        <v>27</v>
      </c>
      <c r="DU29" s="151">
        <v>87</v>
      </c>
      <c r="DV29" s="167">
        <v>24</v>
      </c>
      <c r="DW29" s="167">
        <v>24</v>
      </c>
      <c r="DX29" s="167">
        <v>24</v>
      </c>
      <c r="DY29" s="151">
        <v>87</v>
      </c>
    </row>
    <row r="30" spans="2:129" s="218" customFormat="1" ht="20" customHeight="1" x14ac:dyDescent="0.15">
      <c r="B30" s="161">
        <v>78</v>
      </c>
      <c r="C30" s="171">
        <v>0</v>
      </c>
      <c r="D30" s="171">
        <v>0</v>
      </c>
      <c r="E30" s="179">
        <v>25</v>
      </c>
      <c r="F30" s="171">
        <v>0</v>
      </c>
      <c r="G30" s="171">
        <v>0</v>
      </c>
      <c r="H30" s="171">
        <v>0</v>
      </c>
      <c r="I30" s="171">
        <v>0</v>
      </c>
      <c r="J30" s="179">
        <v>25</v>
      </c>
      <c r="K30" s="171">
        <v>0</v>
      </c>
      <c r="L30" s="171">
        <v>0</v>
      </c>
      <c r="M30" s="171">
        <v>0</v>
      </c>
      <c r="N30" s="171">
        <v>0</v>
      </c>
      <c r="O30" s="179">
        <v>25</v>
      </c>
      <c r="P30" s="53">
        <v>123</v>
      </c>
      <c r="Q30" s="175">
        <v>0</v>
      </c>
      <c r="R30" s="171">
        <v>0</v>
      </c>
      <c r="S30" s="171">
        <v>0</v>
      </c>
      <c r="T30" s="166">
        <v>69</v>
      </c>
      <c r="U30" s="171">
        <v>0</v>
      </c>
      <c r="V30" s="171">
        <v>0</v>
      </c>
      <c r="W30" s="171">
        <v>0</v>
      </c>
      <c r="X30" s="174">
        <v>35</v>
      </c>
      <c r="Y30" s="171">
        <v>0</v>
      </c>
      <c r="Z30" s="174">
        <v>35</v>
      </c>
      <c r="AA30" s="171">
        <v>0</v>
      </c>
      <c r="AB30" s="171">
        <v>0</v>
      </c>
      <c r="AC30" s="171">
        <v>0</v>
      </c>
      <c r="AD30" s="169">
        <v>40</v>
      </c>
      <c r="AE30" s="166">
        <v>69</v>
      </c>
      <c r="AF30" s="171">
        <v>0</v>
      </c>
      <c r="AG30" s="162">
        <v>78</v>
      </c>
      <c r="AH30" s="151">
        <v>85</v>
      </c>
      <c r="AI30" s="171">
        <v>0</v>
      </c>
      <c r="AJ30" s="166">
        <v>69</v>
      </c>
      <c r="AK30" s="171">
        <v>0</v>
      </c>
      <c r="AL30" s="179">
        <v>25</v>
      </c>
      <c r="AM30" s="171">
        <v>0</v>
      </c>
      <c r="AN30" s="189">
        <v>26</v>
      </c>
      <c r="AO30" s="171">
        <v>0</v>
      </c>
      <c r="AP30" s="171">
        <v>0</v>
      </c>
      <c r="AQ30" s="179">
        <v>25</v>
      </c>
      <c r="AR30" s="171">
        <v>0</v>
      </c>
      <c r="AS30" s="173">
        <v>35</v>
      </c>
      <c r="AT30" s="189">
        <v>26</v>
      </c>
      <c r="AU30" s="171">
        <v>0</v>
      </c>
      <c r="AV30" s="171">
        <v>0</v>
      </c>
      <c r="AW30" s="173">
        <v>35</v>
      </c>
      <c r="AX30" s="177">
        <v>0</v>
      </c>
      <c r="AY30" s="179">
        <v>25</v>
      </c>
      <c r="AZ30" s="173">
        <v>35</v>
      </c>
      <c r="BA30" s="171">
        <v>0</v>
      </c>
      <c r="BB30" s="61">
        <v>90</v>
      </c>
      <c r="BC30" s="200">
        <v>90</v>
      </c>
      <c r="BD30" s="171">
        <v>0</v>
      </c>
      <c r="BE30" s="179">
        <v>25</v>
      </c>
      <c r="BF30" s="173">
        <v>35</v>
      </c>
      <c r="BG30" s="171">
        <v>0</v>
      </c>
      <c r="BH30" s="171">
        <v>0</v>
      </c>
      <c r="BI30" s="179">
        <v>25</v>
      </c>
      <c r="BJ30" s="171">
        <v>0</v>
      </c>
      <c r="BK30" s="171">
        <v>0</v>
      </c>
      <c r="BL30" s="171">
        <v>0</v>
      </c>
      <c r="BM30" s="175">
        <v>0</v>
      </c>
      <c r="BN30" s="171">
        <v>0</v>
      </c>
      <c r="BO30" s="171">
        <v>0</v>
      </c>
      <c r="BP30" s="189">
        <v>26</v>
      </c>
      <c r="BQ30" s="171">
        <v>0</v>
      </c>
      <c r="BR30" s="171">
        <v>0</v>
      </c>
      <c r="BS30" s="75">
        <v>93</v>
      </c>
      <c r="BT30" s="166">
        <v>69</v>
      </c>
      <c r="BU30" s="166">
        <v>69</v>
      </c>
      <c r="BV30" s="169">
        <v>40</v>
      </c>
      <c r="BW30" s="169">
        <v>40</v>
      </c>
      <c r="BX30" s="166">
        <v>69</v>
      </c>
      <c r="BY30" s="166">
        <v>69</v>
      </c>
      <c r="BZ30" s="169">
        <v>40</v>
      </c>
      <c r="CA30" s="169">
        <v>40</v>
      </c>
      <c r="CB30" s="166">
        <v>69</v>
      </c>
      <c r="CC30" s="151">
        <v>87</v>
      </c>
      <c r="CD30" s="151">
        <v>87</v>
      </c>
      <c r="CE30" s="190">
        <v>69</v>
      </c>
      <c r="CF30" s="169">
        <v>40</v>
      </c>
      <c r="CG30" s="190">
        <v>69</v>
      </c>
      <c r="CH30" s="190">
        <v>69</v>
      </c>
      <c r="CI30" s="190">
        <v>69</v>
      </c>
      <c r="CJ30" s="169">
        <v>40</v>
      </c>
      <c r="CK30" s="190">
        <v>69</v>
      </c>
      <c r="CL30" s="190">
        <v>69</v>
      </c>
      <c r="CM30" s="208">
        <v>0</v>
      </c>
      <c r="CN30" s="208">
        <v>0</v>
      </c>
      <c r="CO30" s="171">
        <v>0</v>
      </c>
      <c r="CP30" s="171">
        <v>0</v>
      </c>
      <c r="CQ30" s="191">
        <v>26</v>
      </c>
      <c r="CR30" s="171">
        <v>0</v>
      </c>
      <c r="CS30" s="175">
        <v>0</v>
      </c>
      <c r="CT30" s="171">
        <v>0</v>
      </c>
      <c r="CU30" s="189">
        <v>26</v>
      </c>
      <c r="CV30" s="171">
        <v>0</v>
      </c>
      <c r="CW30" s="171">
        <v>0</v>
      </c>
      <c r="CX30" s="171">
        <v>0</v>
      </c>
      <c r="CY30" s="189">
        <v>26</v>
      </c>
      <c r="CZ30" s="171">
        <v>0</v>
      </c>
      <c r="DA30" s="171">
        <v>0</v>
      </c>
      <c r="DB30" s="171">
        <v>0</v>
      </c>
      <c r="DC30" s="189">
        <v>26</v>
      </c>
      <c r="DD30" s="171">
        <v>0</v>
      </c>
      <c r="DE30" s="171">
        <v>0</v>
      </c>
      <c r="DF30" s="171">
        <v>0</v>
      </c>
      <c r="DG30" s="189">
        <v>26</v>
      </c>
      <c r="DH30" s="171">
        <v>0</v>
      </c>
      <c r="DI30" s="175">
        <v>0</v>
      </c>
      <c r="DJ30" s="171">
        <v>0</v>
      </c>
      <c r="DK30" s="189">
        <v>26</v>
      </c>
      <c r="DL30" s="171">
        <v>0</v>
      </c>
      <c r="DM30" s="179">
        <v>25</v>
      </c>
      <c r="DN30" s="171">
        <v>0</v>
      </c>
      <c r="DO30" s="189">
        <v>26</v>
      </c>
      <c r="DP30" s="171">
        <v>0</v>
      </c>
      <c r="DQ30" s="171">
        <v>0</v>
      </c>
      <c r="DR30" s="171">
        <v>0</v>
      </c>
      <c r="DS30" s="191">
        <v>26</v>
      </c>
      <c r="DT30" s="171">
        <v>0</v>
      </c>
      <c r="DU30" s="151">
        <v>87</v>
      </c>
      <c r="DV30" s="167">
        <v>24</v>
      </c>
      <c r="DW30" s="189">
        <v>26</v>
      </c>
      <c r="DX30" s="167">
        <v>24</v>
      </c>
      <c r="DY30" s="151">
        <v>87</v>
      </c>
    </row>
    <row r="31" spans="2:129" s="218" customFormat="1" ht="20" customHeight="1" x14ac:dyDescent="0.15">
      <c r="B31" s="161">
        <v>78</v>
      </c>
      <c r="C31" s="189">
        <v>26</v>
      </c>
      <c r="D31" s="2">
        <v>106</v>
      </c>
      <c r="E31" s="171">
        <v>0</v>
      </c>
      <c r="F31" s="171">
        <v>0</v>
      </c>
      <c r="G31" s="171">
        <v>0</v>
      </c>
      <c r="H31" s="189">
        <v>26</v>
      </c>
      <c r="I31" s="171">
        <v>0</v>
      </c>
      <c r="J31" s="171">
        <v>0</v>
      </c>
      <c r="K31" s="171">
        <v>0</v>
      </c>
      <c r="L31" s="171">
        <v>0</v>
      </c>
      <c r="M31" s="189">
        <v>26</v>
      </c>
      <c r="N31" s="171">
        <v>0</v>
      </c>
      <c r="O31" s="171">
        <v>0</v>
      </c>
      <c r="P31" s="61">
        <v>90</v>
      </c>
      <c r="Q31" s="195">
        <v>26</v>
      </c>
      <c r="R31" s="189">
        <v>26</v>
      </c>
      <c r="S31" s="171">
        <v>0</v>
      </c>
      <c r="T31" s="166">
        <v>69</v>
      </c>
      <c r="U31" s="171">
        <v>0</v>
      </c>
      <c r="V31" s="171">
        <v>0</v>
      </c>
      <c r="W31" s="189">
        <v>26</v>
      </c>
      <c r="X31" s="171">
        <v>0</v>
      </c>
      <c r="Y31" s="171">
        <v>0</v>
      </c>
      <c r="Z31" s="171">
        <v>0</v>
      </c>
      <c r="AA31" s="189">
        <v>26</v>
      </c>
      <c r="AB31" s="169">
        <v>40</v>
      </c>
      <c r="AC31" s="171">
        <v>0</v>
      </c>
      <c r="AD31" s="204">
        <v>58</v>
      </c>
      <c r="AE31" s="204">
        <v>58</v>
      </c>
      <c r="AF31" s="204">
        <v>58</v>
      </c>
      <c r="AG31" s="162">
        <v>78</v>
      </c>
      <c r="AH31" s="151">
        <v>85</v>
      </c>
      <c r="AI31" s="171">
        <v>0</v>
      </c>
      <c r="AJ31" s="166">
        <v>69</v>
      </c>
      <c r="AK31" s="171">
        <v>0</v>
      </c>
      <c r="AL31" s="171">
        <v>0</v>
      </c>
      <c r="AM31" s="171">
        <v>0</v>
      </c>
      <c r="AN31" s="171">
        <v>0</v>
      </c>
      <c r="AO31" s="173">
        <v>35</v>
      </c>
      <c r="AP31" s="171">
        <v>0</v>
      </c>
      <c r="AQ31" s="189">
        <v>26</v>
      </c>
      <c r="AR31" s="171">
        <v>0</v>
      </c>
      <c r="AS31" s="171">
        <v>0</v>
      </c>
      <c r="AT31" s="171">
        <v>0</v>
      </c>
      <c r="AU31" s="171">
        <v>0</v>
      </c>
      <c r="AV31" s="171">
        <v>0</v>
      </c>
      <c r="AW31" s="189">
        <v>26</v>
      </c>
      <c r="AX31" s="177">
        <v>0</v>
      </c>
      <c r="AY31" s="171">
        <v>0</v>
      </c>
      <c r="AZ31" s="189">
        <v>26</v>
      </c>
      <c r="BA31" s="171">
        <v>0</v>
      </c>
      <c r="BB31" s="171">
        <v>0</v>
      </c>
      <c r="BC31" s="171">
        <v>0</v>
      </c>
      <c r="BD31" s="171">
        <v>0</v>
      </c>
      <c r="BE31" s="171">
        <v>0</v>
      </c>
      <c r="BF31" s="189">
        <v>26</v>
      </c>
      <c r="BG31" s="171">
        <v>0</v>
      </c>
      <c r="BH31" s="173">
        <v>35</v>
      </c>
      <c r="BI31" s="171">
        <v>0</v>
      </c>
      <c r="BJ31" s="171">
        <v>0</v>
      </c>
      <c r="BK31" s="189">
        <v>26</v>
      </c>
      <c r="BL31" s="171">
        <v>0</v>
      </c>
      <c r="BM31" s="175">
        <v>0</v>
      </c>
      <c r="BN31" s="189">
        <v>26</v>
      </c>
      <c r="BO31" s="171">
        <v>0</v>
      </c>
      <c r="BP31" s="171">
        <v>0</v>
      </c>
      <c r="BQ31" s="171">
        <v>0</v>
      </c>
      <c r="BR31" s="189">
        <v>26</v>
      </c>
      <c r="BS31" s="171">
        <v>0</v>
      </c>
      <c r="BT31" s="166">
        <v>69</v>
      </c>
      <c r="BU31" s="169">
        <v>40</v>
      </c>
      <c r="BV31" s="166">
        <v>69</v>
      </c>
      <c r="BW31" s="166">
        <v>69</v>
      </c>
      <c r="BX31" s="166">
        <v>69</v>
      </c>
      <c r="BY31" s="169">
        <v>40</v>
      </c>
      <c r="BZ31" s="166">
        <v>69</v>
      </c>
      <c r="CA31" s="166">
        <v>69</v>
      </c>
      <c r="CB31" s="166">
        <v>69</v>
      </c>
      <c r="CC31" s="166">
        <v>69</v>
      </c>
      <c r="CD31" s="243">
        <v>69</v>
      </c>
      <c r="CE31" s="169">
        <v>40</v>
      </c>
      <c r="CF31" s="166">
        <v>69</v>
      </c>
      <c r="CG31" s="169">
        <v>40</v>
      </c>
      <c r="CH31" s="190">
        <v>69</v>
      </c>
      <c r="CI31" s="169">
        <v>40</v>
      </c>
      <c r="CJ31" s="166">
        <v>69</v>
      </c>
      <c r="CK31" s="169">
        <v>40</v>
      </c>
      <c r="CL31" s="190">
        <v>69</v>
      </c>
      <c r="CM31" s="237">
        <v>69</v>
      </c>
      <c r="CN31" s="208">
        <v>0</v>
      </c>
      <c r="CO31" s="179">
        <v>25</v>
      </c>
      <c r="CP31" s="171">
        <v>0</v>
      </c>
      <c r="CQ31" s="171">
        <v>0</v>
      </c>
      <c r="CR31" s="171">
        <v>0</v>
      </c>
      <c r="CS31" s="175">
        <v>0</v>
      </c>
      <c r="CT31" s="171">
        <v>0</v>
      </c>
      <c r="CU31" s="171">
        <v>0</v>
      </c>
      <c r="CV31" s="171">
        <v>0</v>
      </c>
      <c r="CW31" s="179">
        <v>25</v>
      </c>
      <c r="CX31" s="171">
        <v>0</v>
      </c>
      <c r="CY31" s="171">
        <v>0</v>
      </c>
      <c r="CZ31" s="171">
        <v>0</v>
      </c>
      <c r="DA31" s="27">
        <v>96</v>
      </c>
      <c r="DB31" s="27">
        <v>97</v>
      </c>
      <c r="DC31" s="171">
        <v>0</v>
      </c>
      <c r="DD31" s="188">
        <v>31</v>
      </c>
      <c r="DE31" s="179">
        <v>25</v>
      </c>
      <c r="DF31" s="171">
        <v>0</v>
      </c>
      <c r="DG31" s="171">
        <v>0</v>
      </c>
      <c r="DH31" s="171">
        <v>0</v>
      </c>
      <c r="DI31" s="188">
        <v>31</v>
      </c>
      <c r="DJ31" s="171">
        <v>0</v>
      </c>
      <c r="DK31" s="171">
        <v>0</v>
      </c>
      <c r="DL31" s="171">
        <v>0</v>
      </c>
      <c r="DM31" s="171">
        <v>0</v>
      </c>
      <c r="DN31" s="27">
        <v>96</v>
      </c>
      <c r="DO31" s="171">
        <v>0</v>
      </c>
      <c r="DP31" s="27">
        <v>96</v>
      </c>
      <c r="DQ31" s="171">
        <v>0</v>
      </c>
      <c r="DR31" s="27">
        <v>96</v>
      </c>
      <c r="DS31" s="171">
        <v>0</v>
      </c>
      <c r="DT31" s="27">
        <v>96</v>
      </c>
      <c r="DU31" s="15">
        <v>75</v>
      </c>
      <c r="DV31" s="17">
        <v>44</v>
      </c>
      <c r="DW31" s="14">
        <v>38</v>
      </c>
      <c r="DX31" s="167">
        <v>24</v>
      </c>
      <c r="DY31" s="151">
        <v>87</v>
      </c>
    </row>
    <row r="32" spans="2:129" s="218" customFormat="1" ht="20" customHeight="1" x14ac:dyDescent="0.15">
      <c r="B32" s="161">
        <v>78</v>
      </c>
      <c r="C32" s="174">
        <v>35</v>
      </c>
      <c r="D32" s="171">
        <v>0</v>
      </c>
      <c r="E32" s="198">
        <v>36</v>
      </c>
      <c r="F32" s="171">
        <v>0</v>
      </c>
      <c r="G32" s="178">
        <v>108</v>
      </c>
      <c r="H32" s="171">
        <v>0</v>
      </c>
      <c r="I32" s="176">
        <v>113</v>
      </c>
      <c r="J32" s="169">
        <v>40</v>
      </c>
      <c r="K32" s="169">
        <v>40</v>
      </c>
      <c r="L32" s="178">
        <v>108</v>
      </c>
      <c r="M32" s="174">
        <v>35</v>
      </c>
      <c r="N32" s="171">
        <v>0</v>
      </c>
      <c r="O32" s="171">
        <v>0</v>
      </c>
      <c r="P32" s="179">
        <v>25</v>
      </c>
      <c r="Q32" s="175">
        <v>0</v>
      </c>
      <c r="R32" s="171">
        <v>0</v>
      </c>
      <c r="S32" s="171">
        <v>0</v>
      </c>
      <c r="T32" s="166">
        <v>69</v>
      </c>
      <c r="U32" s="171">
        <v>0</v>
      </c>
      <c r="V32" s="171">
        <v>0</v>
      </c>
      <c r="W32" s="171">
        <v>0</v>
      </c>
      <c r="X32" s="178">
        <v>108</v>
      </c>
      <c r="Y32" s="179">
        <v>25</v>
      </c>
      <c r="Z32" s="178">
        <v>108</v>
      </c>
      <c r="AA32" s="171">
        <v>0</v>
      </c>
      <c r="AB32" s="161">
        <v>80</v>
      </c>
      <c r="AC32" s="171">
        <v>0</v>
      </c>
      <c r="AD32" s="171">
        <v>0</v>
      </c>
      <c r="AE32" s="171">
        <v>0</v>
      </c>
      <c r="AF32" s="171">
        <v>0</v>
      </c>
      <c r="AG32" s="162">
        <v>78</v>
      </c>
      <c r="AH32" s="151">
        <v>85</v>
      </c>
      <c r="AI32" s="171">
        <v>0</v>
      </c>
      <c r="AJ32" s="166">
        <v>69</v>
      </c>
      <c r="AK32" s="171">
        <v>0</v>
      </c>
      <c r="AL32" s="171">
        <v>0</v>
      </c>
      <c r="AM32" s="171">
        <v>0</v>
      </c>
      <c r="AN32" s="171">
        <v>0</v>
      </c>
      <c r="AO32" s="179">
        <v>25</v>
      </c>
      <c r="AP32" s="171">
        <v>0</v>
      </c>
      <c r="AQ32" s="171">
        <v>0</v>
      </c>
      <c r="AR32" s="171">
        <v>0</v>
      </c>
      <c r="AS32" s="171">
        <v>0</v>
      </c>
      <c r="AT32" s="169">
        <v>40</v>
      </c>
      <c r="AU32" s="169">
        <v>40</v>
      </c>
      <c r="AV32" s="171">
        <v>0</v>
      </c>
      <c r="AW32" s="171">
        <v>0</v>
      </c>
      <c r="AX32" s="177">
        <v>0</v>
      </c>
      <c r="AY32" s="171">
        <v>0</v>
      </c>
      <c r="AZ32" s="171">
        <v>0</v>
      </c>
      <c r="BA32" s="169">
        <v>40</v>
      </c>
      <c r="BB32" s="169">
        <v>40</v>
      </c>
      <c r="BC32" s="199">
        <v>37</v>
      </c>
      <c r="BD32" s="169">
        <v>40</v>
      </c>
      <c r="BE32" s="171">
        <v>0</v>
      </c>
      <c r="BF32" s="171">
        <v>0</v>
      </c>
      <c r="BG32" s="183">
        <v>42</v>
      </c>
      <c r="BH32" s="171">
        <v>0</v>
      </c>
      <c r="BI32" s="171">
        <v>0</v>
      </c>
      <c r="BJ32" s="171">
        <v>0</v>
      </c>
      <c r="BK32" s="173">
        <v>35</v>
      </c>
      <c r="BL32" s="171">
        <v>0</v>
      </c>
      <c r="BM32" s="175">
        <v>0</v>
      </c>
      <c r="BN32" s="171">
        <v>0</v>
      </c>
      <c r="BO32" s="171">
        <v>0</v>
      </c>
      <c r="BP32" s="171">
        <v>0</v>
      </c>
      <c r="BQ32" s="179">
        <v>25</v>
      </c>
      <c r="BR32" s="171">
        <v>0</v>
      </c>
      <c r="BS32" s="171">
        <v>0</v>
      </c>
      <c r="BT32" s="166">
        <v>69</v>
      </c>
      <c r="BU32" s="169">
        <v>40</v>
      </c>
      <c r="BV32" s="166">
        <v>69</v>
      </c>
      <c r="BW32" s="166">
        <v>69</v>
      </c>
      <c r="BX32" s="166">
        <v>69</v>
      </c>
      <c r="BY32" s="169">
        <v>40</v>
      </c>
      <c r="BZ32" s="166">
        <v>69</v>
      </c>
      <c r="CA32" s="166">
        <v>69</v>
      </c>
      <c r="CB32" s="169">
        <v>40</v>
      </c>
      <c r="CC32" s="166">
        <v>69</v>
      </c>
      <c r="CD32" s="243">
        <v>69</v>
      </c>
      <c r="CE32" s="169">
        <v>40</v>
      </c>
      <c r="CF32" s="169">
        <v>40</v>
      </c>
      <c r="CG32" s="169">
        <v>40</v>
      </c>
      <c r="CH32" s="190">
        <v>69</v>
      </c>
      <c r="CI32" s="169">
        <v>40</v>
      </c>
      <c r="CJ32" s="169">
        <v>40</v>
      </c>
      <c r="CK32" s="169">
        <v>40</v>
      </c>
      <c r="CL32" s="190">
        <v>69</v>
      </c>
      <c r="CM32" s="239">
        <v>85</v>
      </c>
      <c r="CN32" s="240">
        <v>85</v>
      </c>
      <c r="CO32" s="151">
        <v>85</v>
      </c>
      <c r="CP32" s="151">
        <v>85</v>
      </c>
      <c r="CQ32" s="151">
        <v>85</v>
      </c>
      <c r="CR32" s="151">
        <v>85</v>
      </c>
      <c r="CS32" s="151">
        <v>85</v>
      </c>
      <c r="CT32" s="242">
        <v>85</v>
      </c>
      <c r="CU32" s="151">
        <v>85</v>
      </c>
      <c r="CV32" s="151">
        <v>85</v>
      </c>
      <c r="CW32" s="151">
        <v>85</v>
      </c>
      <c r="CX32" s="151">
        <v>85</v>
      </c>
      <c r="CY32" s="151">
        <v>85</v>
      </c>
      <c r="CZ32" s="151">
        <v>85</v>
      </c>
      <c r="DA32" s="151">
        <v>85</v>
      </c>
      <c r="DB32" s="151">
        <v>85</v>
      </c>
      <c r="DC32" s="151">
        <v>85</v>
      </c>
      <c r="DD32" s="151">
        <v>85</v>
      </c>
      <c r="DE32" s="151">
        <v>85</v>
      </c>
      <c r="DF32" s="151">
        <v>85</v>
      </c>
      <c r="DG32" s="151">
        <v>85</v>
      </c>
      <c r="DH32" s="151">
        <v>85</v>
      </c>
      <c r="DI32" s="151">
        <v>85</v>
      </c>
      <c r="DJ32" s="242">
        <v>85</v>
      </c>
      <c r="DK32" s="151">
        <v>85</v>
      </c>
      <c r="DL32" s="151">
        <v>85</v>
      </c>
      <c r="DM32" s="151">
        <v>85</v>
      </c>
      <c r="DN32" s="151">
        <v>85</v>
      </c>
      <c r="DO32" s="151">
        <v>85</v>
      </c>
      <c r="DP32" s="151">
        <v>85</v>
      </c>
      <c r="DQ32" s="151">
        <v>85</v>
      </c>
      <c r="DR32" s="151">
        <v>85</v>
      </c>
      <c r="DS32" s="151">
        <v>85</v>
      </c>
      <c r="DT32" s="151">
        <v>85</v>
      </c>
      <c r="DU32" s="151">
        <v>85</v>
      </c>
      <c r="DV32" s="151">
        <v>85</v>
      </c>
      <c r="DW32" s="151">
        <v>85</v>
      </c>
      <c r="DX32" s="151">
        <v>85</v>
      </c>
      <c r="DY32" s="151">
        <v>85</v>
      </c>
    </row>
    <row r="33" spans="2:129" s="218" customFormat="1" ht="20" customHeight="1" x14ac:dyDescent="0.15">
      <c r="B33" s="161">
        <v>78</v>
      </c>
      <c r="C33" s="179">
        <v>25</v>
      </c>
      <c r="D33" s="171">
        <v>0</v>
      </c>
      <c r="E33" s="204">
        <v>58</v>
      </c>
      <c r="F33" s="171">
        <v>0</v>
      </c>
      <c r="G33" s="171">
        <v>0</v>
      </c>
      <c r="H33" s="169">
        <v>40</v>
      </c>
      <c r="I33" s="171">
        <v>0</v>
      </c>
      <c r="J33" s="204">
        <v>58</v>
      </c>
      <c r="K33" s="204">
        <v>58</v>
      </c>
      <c r="L33" s="171">
        <v>0</v>
      </c>
      <c r="M33" s="171">
        <v>0</v>
      </c>
      <c r="N33" s="169">
        <v>40</v>
      </c>
      <c r="O33" s="171">
        <v>0</v>
      </c>
      <c r="P33" s="169">
        <v>40</v>
      </c>
      <c r="Q33" s="205">
        <v>25</v>
      </c>
      <c r="R33" s="171">
        <v>0</v>
      </c>
      <c r="S33" s="171">
        <v>0</v>
      </c>
      <c r="T33" s="166">
        <v>69</v>
      </c>
      <c r="U33" s="171">
        <v>0</v>
      </c>
      <c r="V33" s="179">
        <v>25</v>
      </c>
      <c r="W33" s="171">
        <v>0</v>
      </c>
      <c r="X33" s="169">
        <v>40</v>
      </c>
      <c r="Y33" s="171">
        <v>0</v>
      </c>
      <c r="Z33" s="169">
        <v>40</v>
      </c>
      <c r="AA33" s="171">
        <v>0</v>
      </c>
      <c r="AB33" s="171">
        <v>0</v>
      </c>
      <c r="AC33" s="171">
        <v>0</v>
      </c>
      <c r="AD33" s="169">
        <v>40</v>
      </c>
      <c r="AE33" s="171">
        <v>0</v>
      </c>
      <c r="AF33" s="171">
        <v>0</v>
      </c>
      <c r="AG33" s="162">
        <v>78</v>
      </c>
      <c r="AH33" s="151">
        <v>85</v>
      </c>
      <c r="AI33" s="171">
        <v>0</v>
      </c>
      <c r="AJ33" s="166">
        <v>69</v>
      </c>
      <c r="AK33" s="171">
        <v>0</v>
      </c>
      <c r="AL33" s="171">
        <v>0</v>
      </c>
      <c r="AM33" s="169">
        <v>40</v>
      </c>
      <c r="AN33" s="171">
        <v>0</v>
      </c>
      <c r="AO33" s="171">
        <v>0</v>
      </c>
      <c r="AP33" s="169">
        <v>40</v>
      </c>
      <c r="AQ33" s="169">
        <v>40</v>
      </c>
      <c r="AR33" s="171">
        <v>0</v>
      </c>
      <c r="AS33" s="171">
        <v>0</v>
      </c>
      <c r="AT33" s="233">
        <v>59</v>
      </c>
      <c r="AU33" s="233">
        <v>59</v>
      </c>
      <c r="AV33" s="171">
        <v>0</v>
      </c>
      <c r="AW33" s="171">
        <v>0</v>
      </c>
      <c r="AX33" s="185">
        <v>40</v>
      </c>
      <c r="AY33" s="171">
        <v>0</v>
      </c>
      <c r="AZ33" s="171">
        <v>0</v>
      </c>
      <c r="BA33" s="233">
        <v>59</v>
      </c>
      <c r="BB33" s="233">
        <v>59</v>
      </c>
      <c r="BC33" s="233">
        <v>59</v>
      </c>
      <c r="BD33" s="233">
        <v>59</v>
      </c>
      <c r="BE33" s="171">
        <v>0</v>
      </c>
      <c r="BF33" s="171">
        <v>0</v>
      </c>
      <c r="BG33" s="233">
        <v>59</v>
      </c>
      <c r="BH33" s="171">
        <v>0</v>
      </c>
      <c r="BI33" s="169">
        <v>40</v>
      </c>
      <c r="BJ33" s="171">
        <v>0</v>
      </c>
      <c r="BK33" s="171">
        <v>0</v>
      </c>
      <c r="BL33" s="179">
        <v>25</v>
      </c>
      <c r="BM33" s="175">
        <v>0</v>
      </c>
      <c r="BN33" s="171">
        <v>0</v>
      </c>
      <c r="BO33" s="171">
        <v>0</v>
      </c>
      <c r="BP33" s="171">
        <v>0</v>
      </c>
      <c r="BQ33" s="171">
        <v>0</v>
      </c>
      <c r="BR33" s="179">
        <v>25</v>
      </c>
      <c r="BS33" s="171">
        <v>0</v>
      </c>
      <c r="BT33" s="166">
        <v>69</v>
      </c>
      <c r="BU33" s="166">
        <v>69</v>
      </c>
      <c r="BV33" s="169">
        <v>40</v>
      </c>
      <c r="BW33" s="169">
        <v>40</v>
      </c>
      <c r="BX33" s="166">
        <v>69</v>
      </c>
      <c r="BY33" s="166">
        <v>69</v>
      </c>
      <c r="BZ33" s="169">
        <v>40</v>
      </c>
      <c r="CA33" s="169">
        <v>40</v>
      </c>
      <c r="CB33" s="166">
        <v>69</v>
      </c>
      <c r="CC33" s="151">
        <v>87</v>
      </c>
      <c r="CD33" s="242">
        <v>87</v>
      </c>
      <c r="CE33" s="169">
        <v>40</v>
      </c>
      <c r="CF33" s="166">
        <v>69</v>
      </c>
      <c r="CG33" s="169">
        <v>40</v>
      </c>
      <c r="CH33" s="190">
        <v>69</v>
      </c>
      <c r="CI33" s="169">
        <v>40</v>
      </c>
      <c r="CJ33" s="166">
        <v>69</v>
      </c>
      <c r="CK33" s="169">
        <v>40</v>
      </c>
      <c r="CL33" s="190">
        <v>69</v>
      </c>
      <c r="CM33" s="238">
        <v>69</v>
      </c>
      <c r="CN33" s="208">
        <v>0</v>
      </c>
      <c r="CO33" s="171">
        <v>0</v>
      </c>
      <c r="CP33" s="171">
        <v>0</v>
      </c>
      <c r="CQ33" s="171">
        <v>0</v>
      </c>
      <c r="CR33" s="171">
        <v>0</v>
      </c>
      <c r="CS33" s="175">
        <v>0</v>
      </c>
      <c r="CT33" s="171">
        <v>0</v>
      </c>
      <c r="CU33" s="171">
        <v>0</v>
      </c>
      <c r="CV33" s="173">
        <v>35</v>
      </c>
      <c r="CW33" s="171">
        <v>0</v>
      </c>
      <c r="CX33" s="171">
        <v>0</v>
      </c>
      <c r="CY33" s="171">
        <v>0</v>
      </c>
      <c r="CZ33" s="173">
        <v>35</v>
      </c>
      <c r="DA33" s="171">
        <v>0</v>
      </c>
      <c r="DB33" s="171">
        <v>0</v>
      </c>
      <c r="DC33" s="173">
        <v>35</v>
      </c>
      <c r="DD33" s="171">
        <v>0</v>
      </c>
      <c r="DE33" s="171">
        <v>0</v>
      </c>
      <c r="DF33" s="173">
        <v>35</v>
      </c>
      <c r="DG33" s="171">
        <v>0</v>
      </c>
      <c r="DH33" s="171">
        <v>0</v>
      </c>
      <c r="DI33" s="175">
        <v>0</v>
      </c>
      <c r="DJ33" s="171">
        <v>0</v>
      </c>
      <c r="DK33" s="53">
        <v>123</v>
      </c>
      <c r="DL33" s="171">
        <v>0</v>
      </c>
      <c r="DM33" s="171">
        <v>0</v>
      </c>
      <c r="DN33" s="171">
        <v>0</v>
      </c>
      <c r="DO33" s="171">
        <v>0</v>
      </c>
      <c r="DP33" s="206">
        <v>35</v>
      </c>
      <c r="DQ33" s="171">
        <v>0</v>
      </c>
      <c r="DR33" s="171">
        <v>0</v>
      </c>
      <c r="DS33" s="206">
        <v>35</v>
      </c>
      <c r="DT33" s="173">
        <v>27</v>
      </c>
      <c r="DU33" s="151">
        <v>87</v>
      </c>
      <c r="DV33" s="167">
        <v>24</v>
      </c>
      <c r="DW33" s="167">
        <v>24</v>
      </c>
      <c r="DX33" s="167">
        <v>24</v>
      </c>
      <c r="DY33" s="151">
        <v>87</v>
      </c>
    </row>
    <row r="34" spans="2:129" s="218" customFormat="1" ht="20" customHeight="1" x14ac:dyDescent="0.15">
      <c r="B34" s="161">
        <v>78</v>
      </c>
      <c r="C34" s="204">
        <v>58</v>
      </c>
      <c r="D34" s="171">
        <v>0</v>
      </c>
      <c r="E34" s="171">
        <v>0</v>
      </c>
      <c r="F34" s="171">
        <v>0</v>
      </c>
      <c r="G34" s="171">
        <v>0</v>
      </c>
      <c r="H34" s="204">
        <v>58</v>
      </c>
      <c r="I34" s="171">
        <v>0</v>
      </c>
      <c r="J34" s="171">
        <v>0</v>
      </c>
      <c r="K34" s="171">
        <v>0</v>
      </c>
      <c r="L34" s="179">
        <v>25</v>
      </c>
      <c r="M34" s="171">
        <v>0</v>
      </c>
      <c r="N34" s="204">
        <v>58</v>
      </c>
      <c r="O34" s="171">
        <v>0</v>
      </c>
      <c r="P34" s="204">
        <v>58</v>
      </c>
      <c r="Q34" s="175">
        <v>0</v>
      </c>
      <c r="R34" s="171">
        <v>0</v>
      </c>
      <c r="S34" s="171">
        <v>0</v>
      </c>
      <c r="T34" s="166">
        <v>69</v>
      </c>
      <c r="U34" s="171">
        <v>0</v>
      </c>
      <c r="V34" s="171">
        <v>0</v>
      </c>
      <c r="W34" s="171">
        <v>0</v>
      </c>
      <c r="X34" s="192">
        <v>63</v>
      </c>
      <c r="Y34" s="171">
        <v>0</v>
      </c>
      <c r="Z34" s="192">
        <v>63</v>
      </c>
      <c r="AA34" s="171">
        <v>0</v>
      </c>
      <c r="AB34" s="171">
        <v>0</v>
      </c>
      <c r="AC34" s="179">
        <v>25</v>
      </c>
      <c r="AD34" s="192">
        <v>63</v>
      </c>
      <c r="AE34" s="171">
        <v>0</v>
      </c>
      <c r="AF34" s="171">
        <v>0</v>
      </c>
      <c r="AG34" s="162">
        <v>78</v>
      </c>
      <c r="AH34" s="151">
        <v>85</v>
      </c>
      <c r="AI34" s="171">
        <v>0</v>
      </c>
      <c r="AJ34" s="166">
        <v>69</v>
      </c>
      <c r="AK34" s="171">
        <v>0</v>
      </c>
      <c r="AL34" s="171">
        <v>0</v>
      </c>
      <c r="AM34" s="233">
        <v>59</v>
      </c>
      <c r="AN34" s="171">
        <v>0</v>
      </c>
      <c r="AO34" s="171">
        <v>0</v>
      </c>
      <c r="AP34" s="233">
        <v>59</v>
      </c>
      <c r="AQ34" s="233">
        <v>59</v>
      </c>
      <c r="AR34" s="171">
        <v>0</v>
      </c>
      <c r="AS34" s="171">
        <v>0</v>
      </c>
      <c r="AT34" s="171">
        <v>0</v>
      </c>
      <c r="AU34" s="171">
        <v>0</v>
      </c>
      <c r="AV34" s="171">
        <v>0</v>
      </c>
      <c r="AW34" s="171">
        <v>0</v>
      </c>
      <c r="AX34" s="233">
        <v>59</v>
      </c>
      <c r="AY34" s="171">
        <v>0</v>
      </c>
      <c r="AZ34" s="171">
        <v>0</v>
      </c>
      <c r="BA34" s="171">
        <v>0</v>
      </c>
      <c r="BB34" s="171">
        <v>0</v>
      </c>
      <c r="BC34" s="171">
        <v>0</v>
      </c>
      <c r="BD34" s="171">
        <v>0</v>
      </c>
      <c r="BE34" s="171">
        <v>0</v>
      </c>
      <c r="BF34" s="171">
        <v>0</v>
      </c>
      <c r="BG34" s="171">
        <v>0</v>
      </c>
      <c r="BH34" s="171">
        <v>0</v>
      </c>
      <c r="BI34" s="233">
        <v>59</v>
      </c>
      <c r="BJ34" s="171">
        <v>0</v>
      </c>
      <c r="BK34" s="171">
        <v>0</v>
      </c>
      <c r="BL34" s="233">
        <v>59</v>
      </c>
      <c r="BM34" s="205">
        <v>25</v>
      </c>
      <c r="BN34" s="171">
        <v>0</v>
      </c>
      <c r="BO34" s="179">
        <v>25</v>
      </c>
      <c r="BP34" s="171">
        <v>0</v>
      </c>
      <c r="BQ34" s="171">
        <v>0</v>
      </c>
      <c r="BR34" s="171">
        <v>0</v>
      </c>
      <c r="BS34" s="171">
        <v>0</v>
      </c>
      <c r="BT34" s="171">
        <v>0</v>
      </c>
      <c r="BU34" s="166">
        <v>69</v>
      </c>
      <c r="BV34" s="166">
        <v>69</v>
      </c>
      <c r="BW34" s="166">
        <v>69</v>
      </c>
      <c r="BX34" s="166">
        <v>69</v>
      </c>
      <c r="BY34" s="166">
        <v>69</v>
      </c>
      <c r="BZ34" s="166">
        <v>69</v>
      </c>
      <c r="CA34" s="166">
        <v>69</v>
      </c>
      <c r="CB34" s="166">
        <v>69</v>
      </c>
      <c r="CC34" s="151">
        <v>87</v>
      </c>
      <c r="CD34" s="242">
        <v>87</v>
      </c>
      <c r="CE34" s="190">
        <v>69</v>
      </c>
      <c r="CF34" s="166">
        <v>69</v>
      </c>
      <c r="CG34" s="190">
        <v>69</v>
      </c>
      <c r="CH34" s="190">
        <v>69</v>
      </c>
      <c r="CI34" s="190">
        <v>69</v>
      </c>
      <c r="CJ34" s="190">
        <v>69</v>
      </c>
      <c r="CK34" s="236">
        <v>69</v>
      </c>
      <c r="CL34" s="190">
        <v>69</v>
      </c>
      <c r="CM34" s="208">
        <v>0</v>
      </c>
      <c r="CN34" s="173">
        <v>35</v>
      </c>
      <c r="CO34" s="171">
        <v>0</v>
      </c>
      <c r="CP34" s="171">
        <v>0</v>
      </c>
      <c r="CQ34" s="173">
        <v>35</v>
      </c>
      <c r="CR34" s="179">
        <v>25</v>
      </c>
      <c r="CS34" s="175">
        <v>0</v>
      </c>
      <c r="CT34" s="171">
        <v>0</v>
      </c>
      <c r="CU34" s="171">
        <v>0</v>
      </c>
      <c r="CV34" s="171">
        <v>0</v>
      </c>
      <c r="CW34" s="169">
        <v>40</v>
      </c>
      <c r="CX34" s="241">
        <v>119</v>
      </c>
      <c r="CY34" s="169">
        <v>40</v>
      </c>
      <c r="CZ34" s="171">
        <v>0</v>
      </c>
      <c r="DA34" s="179">
        <v>25</v>
      </c>
      <c r="DB34" s="171">
        <v>0</v>
      </c>
      <c r="DC34" s="171">
        <v>0</v>
      </c>
      <c r="DD34" s="169">
        <v>40</v>
      </c>
      <c r="DE34" s="169">
        <v>40</v>
      </c>
      <c r="DF34" s="171">
        <v>0</v>
      </c>
      <c r="DG34" s="171">
        <v>0</v>
      </c>
      <c r="DH34" s="171">
        <v>0</v>
      </c>
      <c r="DI34" s="205">
        <v>25</v>
      </c>
      <c r="DJ34" s="171">
        <v>0</v>
      </c>
      <c r="DK34" s="61">
        <v>90</v>
      </c>
      <c r="DL34" s="179">
        <v>25</v>
      </c>
      <c r="DM34" s="171">
        <v>0</v>
      </c>
      <c r="DN34" s="171">
        <v>0</v>
      </c>
      <c r="DO34" s="171">
        <v>0</v>
      </c>
      <c r="DP34" s="208">
        <v>0</v>
      </c>
      <c r="DQ34" s="169">
        <v>40</v>
      </c>
      <c r="DR34" s="169">
        <v>40</v>
      </c>
      <c r="DS34" s="208">
        <v>0</v>
      </c>
      <c r="DT34" s="171">
        <v>0</v>
      </c>
      <c r="DU34" s="151">
        <v>87</v>
      </c>
      <c r="DV34" s="167">
        <v>24</v>
      </c>
      <c r="DW34" s="189">
        <v>26</v>
      </c>
      <c r="DX34" s="167">
        <v>24</v>
      </c>
      <c r="DY34" s="151">
        <v>87</v>
      </c>
    </row>
    <row r="35" spans="2:129" s="218" customFormat="1" ht="20" customHeight="1" x14ac:dyDescent="0.15">
      <c r="B35" s="161">
        <v>78</v>
      </c>
      <c r="C35" s="169">
        <v>40</v>
      </c>
      <c r="D35" s="169">
        <v>40</v>
      </c>
      <c r="E35" s="169">
        <v>40</v>
      </c>
      <c r="F35" s="171">
        <v>0</v>
      </c>
      <c r="G35" s="171">
        <v>35</v>
      </c>
      <c r="H35" s="171">
        <v>0</v>
      </c>
      <c r="I35" s="171">
        <v>0</v>
      </c>
      <c r="J35" s="171">
        <v>0</v>
      </c>
      <c r="K35" s="171">
        <v>0</v>
      </c>
      <c r="L35" s="171">
        <v>35</v>
      </c>
      <c r="M35" s="171">
        <v>0</v>
      </c>
      <c r="N35" s="171">
        <v>0</v>
      </c>
      <c r="O35" s="171">
        <v>0</v>
      </c>
      <c r="P35" s="171">
        <v>0</v>
      </c>
      <c r="Q35" s="175">
        <v>0</v>
      </c>
      <c r="R35" s="171">
        <v>0</v>
      </c>
      <c r="S35" s="171">
        <v>0</v>
      </c>
      <c r="T35" s="166">
        <v>69</v>
      </c>
      <c r="U35" s="171">
        <v>0</v>
      </c>
      <c r="V35" s="241">
        <v>119</v>
      </c>
      <c r="W35" s="171">
        <v>0</v>
      </c>
      <c r="X35" s="171">
        <v>0</v>
      </c>
      <c r="Y35" s="171">
        <v>0</v>
      </c>
      <c r="Z35" s="171">
        <v>0</v>
      </c>
      <c r="AA35" s="171">
        <v>0</v>
      </c>
      <c r="AB35" s="171">
        <v>0</v>
      </c>
      <c r="AC35" s="171">
        <v>0</v>
      </c>
      <c r="AD35" s="171">
        <v>0</v>
      </c>
      <c r="AE35" s="171">
        <v>0</v>
      </c>
      <c r="AF35" s="171">
        <v>0</v>
      </c>
      <c r="AG35" s="162">
        <v>78</v>
      </c>
      <c r="AH35" s="151">
        <v>85</v>
      </c>
      <c r="AI35" s="171">
        <v>0</v>
      </c>
      <c r="AJ35" s="166">
        <v>69</v>
      </c>
      <c r="AK35" s="171">
        <v>0</v>
      </c>
      <c r="AL35" s="241">
        <v>119</v>
      </c>
      <c r="AM35" s="171">
        <v>0</v>
      </c>
      <c r="AN35" s="171">
        <v>0</v>
      </c>
      <c r="AO35" s="212">
        <v>114</v>
      </c>
      <c r="AP35" s="171">
        <v>0</v>
      </c>
      <c r="AQ35" s="171">
        <v>0</v>
      </c>
      <c r="AR35" s="171">
        <v>0</v>
      </c>
      <c r="AS35" s="212">
        <v>114</v>
      </c>
      <c r="AT35" s="171">
        <v>0</v>
      </c>
      <c r="AU35" s="171">
        <v>0</v>
      </c>
      <c r="AV35" s="171">
        <v>0</v>
      </c>
      <c r="AW35" s="212">
        <v>114</v>
      </c>
      <c r="AX35" s="177">
        <v>0</v>
      </c>
      <c r="AY35" s="171">
        <v>0</v>
      </c>
      <c r="AZ35" s="212">
        <v>114</v>
      </c>
      <c r="BA35" s="171">
        <v>0</v>
      </c>
      <c r="BB35" s="171">
        <v>0</v>
      </c>
      <c r="BC35" s="171">
        <v>0</v>
      </c>
      <c r="BD35" s="171">
        <v>0</v>
      </c>
      <c r="BE35" s="171">
        <v>0</v>
      </c>
      <c r="BF35" s="212">
        <v>114</v>
      </c>
      <c r="BG35" s="171">
        <v>0</v>
      </c>
      <c r="BH35" s="212">
        <v>114</v>
      </c>
      <c r="BI35" s="171">
        <v>0</v>
      </c>
      <c r="BJ35" s="171">
        <v>0</v>
      </c>
      <c r="BK35" s="212">
        <v>114</v>
      </c>
      <c r="BL35" s="171">
        <v>0</v>
      </c>
      <c r="BM35" s="241">
        <v>119</v>
      </c>
      <c r="BN35" s="171">
        <v>0</v>
      </c>
      <c r="BO35" s="188">
        <v>31</v>
      </c>
      <c r="BP35" s="171">
        <v>0</v>
      </c>
      <c r="BQ35" s="188">
        <v>31</v>
      </c>
      <c r="BR35" s="171">
        <v>0</v>
      </c>
      <c r="BS35" s="188">
        <v>31</v>
      </c>
      <c r="BT35" s="171">
        <v>0</v>
      </c>
      <c r="BU35" s="171">
        <v>0</v>
      </c>
      <c r="BV35" s="171">
        <v>0</v>
      </c>
      <c r="BW35" s="57">
        <v>53</v>
      </c>
      <c r="BX35" s="178">
        <v>108</v>
      </c>
      <c r="BY35" s="57">
        <v>53</v>
      </c>
      <c r="BZ35" s="178">
        <v>108</v>
      </c>
      <c r="CA35" s="57">
        <v>53</v>
      </c>
      <c r="CB35" s="8">
        <v>11</v>
      </c>
      <c r="CC35" s="151">
        <v>87</v>
      </c>
      <c r="CD35" s="242">
        <v>87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34">
        <v>53</v>
      </c>
      <c r="CL35" s="241">
        <v>119</v>
      </c>
      <c r="CM35" s="208">
        <v>0</v>
      </c>
      <c r="CN35" s="212">
        <v>114</v>
      </c>
      <c r="CO35" s="171">
        <v>0</v>
      </c>
      <c r="CP35" s="171">
        <v>0</v>
      </c>
      <c r="CQ35" s="212">
        <v>114</v>
      </c>
      <c r="CR35" s="171">
        <v>0</v>
      </c>
      <c r="CS35" s="188">
        <v>31</v>
      </c>
      <c r="CT35" s="244">
        <v>31</v>
      </c>
      <c r="CU35" s="171">
        <v>0</v>
      </c>
      <c r="CV35" s="212">
        <v>114</v>
      </c>
      <c r="CW35" s="233">
        <v>59</v>
      </c>
      <c r="CX35" s="233">
        <v>59</v>
      </c>
      <c r="CY35" s="233">
        <v>59</v>
      </c>
      <c r="CZ35" s="212">
        <v>114</v>
      </c>
      <c r="DA35" s="171">
        <v>0</v>
      </c>
      <c r="DB35" s="171">
        <v>0</v>
      </c>
      <c r="DC35" s="212">
        <v>114</v>
      </c>
      <c r="DD35" s="233">
        <v>59</v>
      </c>
      <c r="DE35" s="233">
        <v>59</v>
      </c>
      <c r="DF35" s="212">
        <v>114</v>
      </c>
      <c r="DG35" s="171">
        <v>0</v>
      </c>
      <c r="DH35" s="171">
        <v>0</v>
      </c>
      <c r="DI35" s="188">
        <v>31</v>
      </c>
      <c r="DJ35" s="171">
        <v>0</v>
      </c>
      <c r="DK35" s="171">
        <v>0</v>
      </c>
      <c r="DL35" s="171">
        <v>0</v>
      </c>
      <c r="DM35" s="188">
        <v>31</v>
      </c>
      <c r="DN35" s="171">
        <v>0</v>
      </c>
      <c r="DO35" s="171">
        <v>0</v>
      </c>
      <c r="DP35" s="213">
        <v>114</v>
      </c>
      <c r="DQ35" s="233">
        <v>59</v>
      </c>
      <c r="DR35" s="233">
        <v>59</v>
      </c>
      <c r="DS35" s="213">
        <v>114</v>
      </c>
      <c r="DT35" s="171">
        <v>0</v>
      </c>
      <c r="DU35" s="14">
        <v>74</v>
      </c>
      <c r="DV35" s="17">
        <v>45</v>
      </c>
      <c r="DW35" s="183">
        <v>47</v>
      </c>
      <c r="DX35" s="167">
        <v>24</v>
      </c>
      <c r="DY35" s="151">
        <v>87</v>
      </c>
    </row>
    <row r="36" spans="2:129" s="218" customFormat="1" ht="20" customHeight="1" x14ac:dyDescent="0.15">
      <c r="B36" s="161">
        <v>78</v>
      </c>
      <c r="C36" s="161">
        <v>78</v>
      </c>
      <c r="D36" s="161">
        <v>78</v>
      </c>
      <c r="E36" s="161">
        <v>78</v>
      </c>
      <c r="F36" s="214">
        <v>50</v>
      </c>
      <c r="G36" s="214">
        <v>50</v>
      </c>
      <c r="H36" s="214">
        <v>50</v>
      </c>
      <c r="I36" s="214">
        <v>50</v>
      </c>
      <c r="J36" s="214">
        <v>50</v>
      </c>
      <c r="K36" s="214">
        <v>50</v>
      </c>
      <c r="L36" s="214">
        <v>50</v>
      </c>
      <c r="M36" s="214">
        <v>50</v>
      </c>
      <c r="N36" s="214">
        <v>50</v>
      </c>
      <c r="O36" s="214">
        <v>50</v>
      </c>
      <c r="P36" s="214">
        <v>50</v>
      </c>
      <c r="Q36" s="162">
        <v>78</v>
      </c>
      <c r="R36" s="161">
        <v>78</v>
      </c>
      <c r="S36" s="161">
        <v>78</v>
      </c>
      <c r="T36" s="161">
        <v>78</v>
      </c>
      <c r="U36" s="161">
        <v>78</v>
      </c>
      <c r="V36" s="161">
        <v>78</v>
      </c>
      <c r="W36" s="214">
        <v>50</v>
      </c>
      <c r="X36" s="214">
        <v>50</v>
      </c>
      <c r="Y36" s="214">
        <v>50</v>
      </c>
      <c r="Z36" s="214">
        <v>50</v>
      </c>
      <c r="AA36" s="214">
        <v>50</v>
      </c>
      <c r="AB36" s="161">
        <v>78</v>
      </c>
      <c r="AC36" s="214">
        <v>50</v>
      </c>
      <c r="AD36" s="214">
        <v>50</v>
      </c>
      <c r="AE36" s="214">
        <v>50</v>
      </c>
      <c r="AF36" s="214">
        <v>50</v>
      </c>
      <c r="AG36" s="162">
        <v>78</v>
      </c>
      <c r="AH36" s="151">
        <v>85</v>
      </c>
      <c r="AI36" s="151">
        <v>85</v>
      </c>
      <c r="AJ36" s="151">
        <v>85</v>
      </c>
      <c r="AK36" s="151">
        <v>85</v>
      </c>
      <c r="AL36" s="151">
        <v>85</v>
      </c>
      <c r="AM36" s="214">
        <v>50</v>
      </c>
      <c r="AN36" s="214">
        <v>50</v>
      </c>
      <c r="AO36" s="215">
        <v>50</v>
      </c>
      <c r="AP36" s="214">
        <v>50</v>
      </c>
      <c r="AQ36" s="214">
        <v>50</v>
      </c>
      <c r="AR36" s="214">
        <v>50</v>
      </c>
      <c r="AS36" s="215">
        <v>50</v>
      </c>
      <c r="AT36" s="214">
        <v>50</v>
      </c>
      <c r="AU36" s="214">
        <v>50</v>
      </c>
      <c r="AV36" s="214">
        <v>50</v>
      </c>
      <c r="AW36" s="215">
        <v>50</v>
      </c>
      <c r="AX36" s="216">
        <v>50</v>
      </c>
      <c r="AY36" s="214">
        <v>50</v>
      </c>
      <c r="AZ36" s="214">
        <v>50</v>
      </c>
      <c r="BA36" s="214">
        <v>50</v>
      </c>
      <c r="BB36" s="214">
        <v>50</v>
      </c>
      <c r="BC36" s="214">
        <v>50</v>
      </c>
      <c r="BD36" s="214">
        <v>50</v>
      </c>
      <c r="BE36" s="214">
        <v>50</v>
      </c>
      <c r="BF36" s="214">
        <v>50</v>
      </c>
      <c r="BG36" s="214">
        <v>50</v>
      </c>
      <c r="BH36" s="214">
        <v>50</v>
      </c>
      <c r="BI36" s="214">
        <v>50</v>
      </c>
      <c r="BJ36" s="214">
        <v>50</v>
      </c>
      <c r="BK36" s="214">
        <v>50</v>
      </c>
      <c r="BL36" s="214">
        <v>50</v>
      </c>
      <c r="BM36" s="151">
        <v>85</v>
      </c>
      <c r="BN36" s="151">
        <v>85</v>
      </c>
      <c r="BO36" s="151">
        <v>85</v>
      </c>
      <c r="BP36" s="151">
        <v>85</v>
      </c>
      <c r="BQ36" s="151">
        <v>85</v>
      </c>
      <c r="BR36" s="151">
        <v>85</v>
      </c>
      <c r="BS36" s="151">
        <v>85</v>
      </c>
      <c r="BT36" s="151">
        <v>85</v>
      </c>
      <c r="BU36" s="151">
        <v>85</v>
      </c>
      <c r="BV36" s="151">
        <v>85</v>
      </c>
      <c r="BW36" s="151">
        <v>85</v>
      </c>
      <c r="BX36" s="151">
        <v>85</v>
      </c>
      <c r="BY36" s="151">
        <v>85</v>
      </c>
      <c r="BZ36" s="151">
        <v>85</v>
      </c>
      <c r="CA36" s="151">
        <v>85</v>
      </c>
      <c r="CB36" s="151">
        <v>85</v>
      </c>
      <c r="CC36" s="151">
        <v>85</v>
      </c>
      <c r="CD36" s="242">
        <v>85</v>
      </c>
      <c r="CE36" s="151">
        <v>85</v>
      </c>
      <c r="CF36" s="151">
        <v>85</v>
      </c>
      <c r="CG36" s="151">
        <v>85</v>
      </c>
      <c r="CH36" s="151">
        <v>85</v>
      </c>
      <c r="CI36" s="151">
        <v>85</v>
      </c>
      <c r="CJ36" s="151">
        <v>85</v>
      </c>
      <c r="CK36" s="151">
        <v>85</v>
      </c>
      <c r="CL36" s="151">
        <v>85</v>
      </c>
      <c r="CM36" s="151">
        <v>85</v>
      </c>
      <c r="CN36" s="214">
        <v>50</v>
      </c>
      <c r="CO36" s="151">
        <v>85</v>
      </c>
      <c r="CP36" s="151">
        <v>85</v>
      </c>
      <c r="CQ36" s="214">
        <v>50</v>
      </c>
      <c r="CR36" s="151">
        <v>85</v>
      </c>
      <c r="CS36" s="151">
        <v>85</v>
      </c>
      <c r="CT36" s="242">
        <v>85</v>
      </c>
      <c r="CU36" s="151">
        <v>85</v>
      </c>
      <c r="CV36" s="214">
        <v>50</v>
      </c>
      <c r="CW36" s="214">
        <v>50</v>
      </c>
      <c r="CX36" s="214">
        <v>50</v>
      </c>
      <c r="CY36" s="214">
        <v>50</v>
      </c>
      <c r="CZ36" s="214">
        <v>50</v>
      </c>
      <c r="DA36" s="151">
        <v>85</v>
      </c>
      <c r="DB36" s="151">
        <v>85</v>
      </c>
      <c r="DC36" s="214">
        <v>50</v>
      </c>
      <c r="DD36" s="214">
        <v>50</v>
      </c>
      <c r="DE36" s="214">
        <v>50</v>
      </c>
      <c r="DF36" s="214">
        <v>50</v>
      </c>
      <c r="DG36" s="151">
        <v>85</v>
      </c>
      <c r="DH36" s="151">
        <v>85</v>
      </c>
      <c r="DI36" s="151">
        <v>85</v>
      </c>
      <c r="DJ36" s="242">
        <v>85</v>
      </c>
      <c r="DK36" s="151">
        <v>85</v>
      </c>
      <c r="DL36" s="151">
        <v>85</v>
      </c>
      <c r="DM36" s="151">
        <v>85</v>
      </c>
      <c r="DN36" s="151">
        <v>85</v>
      </c>
      <c r="DO36" s="151">
        <v>85</v>
      </c>
      <c r="DP36" s="214">
        <v>50</v>
      </c>
      <c r="DQ36" s="214">
        <v>50</v>
      </c>
      <c r="DR36" s="214">
        <v>50</v>
      </c>
      <c r="DS36" s="214">
        <v>50</v>
      </c>
      <c r="DT36" s="151">
        <v>85</v>
      </c>
      <c r="DU36" s="151">
        <v>85</v>
      </c>
      <c r="DV36" s="151">
        <v>85</v>
      </c>
      <c r="DW36" s="151">
        <v>85</v>
      </c>
      <c r="DX36" s="151">
        <v>85</v>
      </c>
      <c r="DY36" s="151">
        <v>85</v>
      </c>
    </row>
    <row r="37" spans="2:129" ht="20" customHeight="1" x14ac:dyDescent="0.15"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</row>
    <row r="38" spans="2:129" ht="20" customHeight="1" x14ac:dyDescent="0.15"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</row>
    <row r="39" spans="2:129" ht="20" customHeight="1" thickBot="1" x14ac:dyDescent="0.2">
      <c r="G39" s="217"/>
      <c r="H39" s="217"/>
      <c r="I39" s="217"/>
      <c r="J39" s="217"/>
      <c r="K39" s="217"/>
      <c r="L39" s="217"/>
      <c r="M39" s="217"/>
      <c r="N39" s="217"/>
      <c r="O39" s="217"/>
      <c r="P39" s="217"/>
    </row>
    <row r="40" spans="2:129" ht="20" customHeight="1" x14ac:dyDescent="0.15">
      <c r="B40" s="221" t="s">
        <v>167</v>
      </c>
      <c r="C40" s="222"/>
      <c r="D40" s="222"/>
      <c r="E40" s="223">
        <f>COUNTIF($B$2:$IW$10,40)</f>
        <v>100</v>
      </c>
      <c r="F40" s="224">
        <v>100</v>
      </c>
      <c r="G40" s="217"/>
      <c r="H40" s="217"/>
      <c r="I40" s="217"/>
      <c r="J40" s="217"/>
      <c r="K40" s="217"/>
      <c r="L40" s="217"/>
      <c r="M40" s="217"/>
      <c r="N40" s="217"/>
      <c r="O40" s="217"/>
      <c r="P40" s="217"/>
    </row>
    <row r="41" spans="2:129" ht="20" customHeight="1" x14ac:dyDescent="0.15">
      <c r="B41" s="225" t="s">
        <v>168</v>
      </c>
      <c r="C41" s="226"/>
      <c r="D41" s="226"/>
      <c r="E41" s="227">
        <f>COUNTIF($B$2:$IW$10,121) + COUNTIF($B$2:$IW$10,122)</f>
        <v>4</v>
      </c>
      <c r="F41" s="228">
        <v>4</v>
      </c>
      <c r="G41" s="217"/>
      <c r="H41" s="217"/>
      <c r="I41" s="217"/>
      <c r="J41" s="217"/>
      <c r="K41" s="217"/>
      <c r="L41" s="217"/>
      <c r="M41" s="217"/>
      <c r="N41" s="217"/>
      <c r="O41" s="217"/>
      <c r="P41" s="217"/>
    </row>
    <row r="42" spans="2:129" ht="20" customHeight="1" x14ac:dyDescent="0.15">
      <c r="B42" s="225" t="s">
        <v>169</v>
      </c>
      <c r="C42" s="226"/>
      <c r="D42" s="226"/>
      <c r="E42" s="227">
        <f>COUNTIF($B$2:$IW$10,123) + COUNTIF($B$2:$IW$10,124)</f>
        <v>4</v>
      </c>
      <c r="F42" s="228">
        <v>4</v>
      </c>
      <c r="G42" s="217"/>
      <c r="H42" s="217"/>
      <c r="I42" s="217"/>
      <c r="J42" s="217"/>
      <c r="K42" s="217"/>
      <c r="L42" s="217"/>
      <c r="M42" s="217"/>
      <c r="N42" s="217"/>
      <c r="O42" s="217"/>
      <c r="P42" s="217"/>
    </row>
    <row r="43" spans="2:129" ht="20" customHeight="1" x14ac:dyDescent="0.15">
      <c r="B43" s="225" t="s">
        <v>170</v>
      </c>
      <c r="C43" s="226"/>
      <c r="D43" s="226"/>
      <c r="E43" s="227">
        <f>COUNTIF($B$2:$IW$10,125) + COUNTIF($B$2:$IW$10,126)</f>
        <v>1</v>
      </c>
      <c r="F43" s="228">
        <v>1</v>
      </c>
      <c r="G43" s="217"/>
      <c r="H43" s="217"/>
      <c r="I43" s="217"/>
      <c r="J43" s="217"/>
      <c r="K43" s="217"/>
      <c r="L43" s="217"/>
      <c r="M43" s="217"/>
      <c r="N43" s="217"/>
      <c r="O43" s="217"/>
      <c r="P43" s="217"/>
    </row>
    <row r="44" spans="2:129" ht="20" customHeight="1" x14ac:dyDescent="0.15">
      <c r="B44" s="225" t="s">
        <v>171</v>
      </c>
      <c r="C44" s="226"/>
      <c r="D44" s="226"/>
      <c r="E44" s="227">
        <f>COUNTIF($B$2:$IW$10,41) + COUNTIF($B$2:$IW$10,42)+COUNTIF($B$2:$IW$10,43) + COUNTIF($B$2:$IW$10,44)+COUNTIF($B$2:$IW$10,45) + COUNTIF($B$2:$IW$10,46)</f>
        <v>6</v>
      </c>
      <c r="F44" s="228">
        <v>6</v>
      </c>
      <c r="G44" s="217"/>
      <c r="H44" s="217"/>
      <c r="I44" s="217"/>
      <c r="J44" s="217"/>
      <c r="K44" s="217"/>
      <c r="L44" s="217"/>
      <c r="M44" s="217"/>
      <c r="N44" s="217"/>
      <c r="O44" s="217"/>
      <c r="P44" s="217"/>
    </row>
    <row r="45" spans="2:129" ht="20" customHeight="1" x14ac:dyDescent="0.15">
      <c r="B45" s="225" t="s">
        <v>172</v>
      </c>
      <c r="C45" s="226"/>
      <c r="D45" s="226"/>
      <c r="E45" s="227">
        <f>COUNTIF($B$2:$IW$10,47)</f>
        <v>1</v>
      </c>
      <c r="F45" s="228">
        <v>1</v>
      </c>
      <c r="G45" s="217"/>
      <c r="H45" s="217"/>
      <c r="I45" s="217"/>
      <c r="J45" s="217"/>
      <c r="K45" s="217"/>
      <c r="L45" s="217"/>
      <c r="M45" s="217"/>
      <c r="N45" s="217"/>
      <c r="O45" s="217"/>
      <c r="P45" s="217"/>
    </row>
    <row r="46" spans="2:129" ht="20" customHeight="1" x14ac:dyDescent="0.15">
      <c r="B46" s="225" t="s">
        <v>173</v>
      </c>
      <c r="C46" s="226"/>
      <c r="D46" s="226"/>
      <c r="E46" s="227">
        <f>COUNTIF($B$2:$IW$10,36) + COUNTIF($B$2:$IW$10,37)+COUNTIF($B$2:$IW$10,38) + COUNTIF($B$2:$IW$10,39)</f>
        <v>4</v>
      </c>
      <c r="F46" s="228">
        <v>4</v>
      </c>
      <c r="G46" s="217"/>
      <c r="H46" s="217"/>
      <c r="I46" s="217"/>
      <c r="J46" s="217"/>
      <c r="K46" s="217"/>
      <c r="L46" s="217"/>
      <c r="M46" s="217"/>
      <c r="N46" s="217"/>
      <c r="O46" s="217"/>
      <c r="P46" s="217"/>
    </row>
    <row r="47" spans="2:129" ht="20" customHeight="1" thickBot="1" x14ac:dyDescent="0.2">
      <c r="B47" s="229" t="s">
        <v>174</v>
      </c>
      <c r="C47" s="230"/>
      <c r="D47" s="230"/>
      <c r="E47" s="231">
        <f>COUNTIF($B$2:$IW$10,72) + COUNTIF($B$2:$IW$10,73)+COUNTIF($B$2:$IW$10,74) + COUNTIF($B$2:$IW$10,75)</f>
        <v>4</v>
      </c>
      <c r="F47" s="232">
        <v>4</v>
      </c>
      <c r="G47" s="217"/>
      <c r="H47" s="217"/>
      <c r="I47" s="217"/>
      <c r="J47" s="217"/>
      <c r="K47" s="217"/>
      <c r="L47" s="217"/>
      <c r="M47" s="217"/>
      <c r="N47" s="217"/>
      <c r="O47" s="217"/>
      <c r="P47" s="217"/>
    </row>
    <row r="48" spans="2:129" ht="20" customHeight="1" x14ac:dyDescent="0.15">
      <c r="B48" s="217"/>
      <c r="C48" s="217"/>
      <c r="D48" s="217"/>
      <c r="E48" s="217"/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P48" s="217"/>
    </row>
    <row r="49" spans="2:16" ht="20" customHeight="1" x14ac:dyDescent="0.15">
      <c r="B49" s="217"/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P49" s="217"/>
    </row>
    <row r="50" spans="2:16" ht="20" customHeight="1" x14ac:dyDescent="0.15">
      <c r="B50" s="217"/>
      <c r="C50" s="217"/>
      <c r="D50" s="217"/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</row>
    <row r="51" spans="2:16" ht="20" customHeight="1" x14ac:dyDescent="0.15">
      <c r="B51" s="217"/>
      <c r="C51" s="217"/>
      <c r="D51" s="217"/>
      <c r="E51" s="217"/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</row>
    <row r="52" spans="2:16" ht="20" customHeight="1" x14ac:dyDescent="0.15">
      <c r="B52" s="217"/>
      <c r="C52" s="217"/>
      <c r="D52" s="217"/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</row>
    <row r="53" spans="2:16" ht="20" customHeight="1" x14ac:dyDescent="0.15">
      <c r="B53" s="217"/>
      <c r="C53" s="217"/>
      <c r="D53" s="217"/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</row>
    <row r="54" spans="2:16" ht="20" customHeight="1" x14ac:dyDescent="0.15">
      <c r="B54" s="217"/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2"/>
  <sheetViews>
    <sheetView tabSelected="1" topLeftCell="B61" zoomScaleNormal="100" workbookViewId="0">
      <selection activeCell="K70" sqref="K70:L70"/>
    </sheetView>
  </sheetViews>
  <sheetFormatPr baseColWidth="10" defaultColWidth="3.7109375" defaultRowHeight="20" customHeight="1" x14ac:dyDescent="0.2"/>
  <cols>
    <col min="1" max="1" width="3.7109375" style="138" hidden="1" customWidth="1"/>
    <col min="2" max="17" width="3.7109375" style="42" customWidth="1"/>
    <col min="18" max="32" width="3.7109375" style="138" customWidth="1"/>
    <col min="33" max="33" width="3.7109375" style="105" customWidth="1"/>
    <col min="34" max="48" width="3.7109375" style="138" customWidth="1"/>
    <col min="49" max="49" width="3.7109375" style="105" customWidth="1"/>
    <col min="50" max="64" width="3.7109375" style="138" customWidth="1"/>
    <col min="65" max="65" width="3.7109375" style="105" customWidth="1"/>
    <col min="66" max="80" width="3.7109375" style="138" customWidth="1"/>
    <col min="81" max="81" width="3.7109375" style="105" customWidth="1"/>
    <col min="82" max="96" width="3.7109375" style="138" customWidth="1"/>
    <col min="97" max="97" width="3.7109375" style="105" customWidth="1"/>
    <col min="98" max="110" width="3.7109375" style="138" customWidth="1"/>
    <col min="111" max="111" width="3.7109375" style="42" customWidth="1"/>
    <col min="112" max="112" width="3.7109375" style="138" customWidth="1"/>
    <col min="113" max="113" width="3.7109375" style="105" customWidth="1"/>
    <col min="114" max="115" width="3.7109375" style="138" customWidth="1"/>
    <col min="116" max="116" width="3.7109375" style="42" customWidth="1"/>
    <col min="117" max="128" width="3.7109375" style="138" customWidth="1"/>
    <col min="129" max="129" width="3.7109375" style="105" customWidth="1"/>
    <col min="130" max="144" width="3.7109375" style="138" customWidth="1"/>
    <col min="145" max="145" width="3.7109375" style="105" customWidth="1"/>
    <col min="146" max="160" width="3.7109375" style="138" customWidth="1"/>
    <col min="161" max="161" width="3.7109375" style="105" customWidth="1"/>
    <col min="162" max="176" width="3.7109375" style="138" customWidth="1"/>
    <col min="177" max="177" width="3.7109375" style="105" customWidth="1"/>
    <col min="178" max="192" width="3.7109375" style="138" customWidth="1"/>
    <col min="193" max="193" width="3.7109375" style="105" customWidth="1"/>
    <col min="194" max="208" width="3.7109375" style="138" customWidth="1"/>
    <col min="209" max="209" width="3.7109375" style="105" customWidth="1"/>
    <col min="210" max="224" width="3.7109375" style="138" customWidth="1"/>
    <col min="225" max="225" width="3.7109375" style="105" customWidth="1"/>
    <col min="226" max="240" width="3.7109375" style="138" customWidth="1"/>
    <col min="241" max="241" width="3.7109375" style="105" customWidth="1"/>
    <col min="242" max="256" width="3.7109375" style="138" customWidth="1"/>
    <col min="257" max="257" width="3.7109375" style="105" customWidth="1"/>
    <col min="258" max="16384" width="3.7109375" style="138"/>
  </cols>
  <sheetData>
    <row r="1" spans="1:257" s="42" customFormat="1" ht="20" hidden="1" customHeight="1" x14ac:dyDescent="0.25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93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93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93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3">
        <v>0</v>
      </c>
      <c r="C2" s="48">
        <v>7</v>
      </c>
      <c r="D2" s="48">
        <v>8</v>
      </c>
      <c r="E2" s="43">
        <v>0</v>
      </c>
      <c r="F2" s="43">
        <v>0</v>
      </c>
      <c r="G2" s="150">
        <v>16</v>
      </c>
      <c r="H2" s="43">
        <v>0</v>
      </c>
      <c r="I2" s="43">
        <v>0</v>
      </c>
      <c r="J2" s="7">
        <v>117</v>
      </c>
      <c r="K2" s="43">
        <v>0</v>
      </c>
      <c r="L2" s="150">
        <v>16</v>
      </c>
      <c r="M2" s="43">
        <v>0</v>
      </c>
      <c r="N2" s="43">
        <v>0</v>
      </c>
      <c r="O2" s="48">
        <v>7</v>
      </c>
      <c r="P2" s="48">
        <v>8</v>
      </c>
      <c r="Q2" s="43">
        <v>0</v>
      </c>
      <c r="R2" s="161">
        <v>78</v>
      </c>
      <c r="S2" s="161">
        <v>78</v>
      </c>
      <c r="T2" s="272">
        <v>68</v>
      </c>
      <c r="U2" s="161">
        <v>78</v>
      </c>
      <c r="V2" s="161">
        <v>78</v>
      </c>
      <c r="W2" s="161">
        <v>78</v>
      </c>
      <c r="X2" s="161">
        <v>78</v>
      </c>
      <c r="Y2" s="161">
        <v>78</v>
      </c>
      <c r="Z2" s="161">
        <v>78</v>
      </c>
      <c r="AA2" s="161">
        <v>78</v>
      </c>
      <c r="AB2" s="161">
        <v>78</v>
      </c>
      <c r="AC2" s="161">
        <v>78</v>
      </c>
      <c r="AD2" s="161">
        <v>78</v>
      </c>
      <c r="AE2" s="161">
        <v>78</v>
      </c>
      <c r="AF2" s="161">
        <v>78</v>
      </c>
      <c r="AG2" s="161">
        <v>78</v>
      </c>
      <c r="AH2" s="60">
        <v>84</v>
      </c>
      <c r="AI2" s="7">
        <v>117</v>
      </c>
      <c r="AJ2" s="272">
        <v>68</v>
      </c>
      <c r="AK2" s="43">
        <v>0</v>
      </c>
      <c r="AL2" s="43">
        <v>0</v>
      </c>
      <c r="AM2" s="272">
        <v>68</v>
      </c>
      <c r="AN2" s="43">
        <v>0</v>
      </c>
      <c r="AO2" s="43">
        <v>0</v>
      </c>
      <c r="AP2" s="43">
        <v>0</v>
      </c>
      <c r="AQ2" s="272">
        <v>68</v>
      </c>
      <c r="AR2" s="43">
        <v>0</v>
      </c>
      <c r="AS2" s="179">
        <v>25</v>
      </c>
      <c r="AT2" s="43">
        <v>0</v>
      </c>
      <c r="AU2" s="43">
        <v>0</v>
      </c>
      <c r="AV2" s="7">
        <v>117</v>
      </c>
      <c r="AW2" s="60">
        <v>84</v>
      </c>
      <c r="AX2" s="60">
        <v>84</v>
      </c>
      <c r="AY2" s="43">
        <v>0</v>
      </c>
      <c r="AZ2" s="64">
        <v>40</v>
      </c>
      <c r="BA2" s="43">
        <v>0</v>
      </c>
      <c r="BB2" s="43">
        <v>0</v>
      </c>
      <c r="BC2" s="272">
        <v>68</v>
      </c>
      <c r="BD2" s="43">
        <v>0</v>
      </c>
      <c r="BE2" s="43">
        <v>0</v>
      </c>
      <c r="BF2" s="43">
        <v>0</v>
      </c>
      <c r="BG2" s="272">
        <v>68</v>
      </c>
      <c r="BH2" s="55">
        <v>77</v>
      </c>
      <c r="BI2" s="60">
        <v>84</v>
      </c>
      <c r="BJ2" s="60">
        <v>84</v>
      </c>
      <c r="BK2" s="60">
        <v>84</v>
      </c>
      <c r="BL2" s="60">
        <v>84</v>
      </c>
      <c r="BM2" s="60">
        <v>84</v>
      </c>
      <c r="BN2" s="60">
        <v>84</v>
      </c>
      <c r="BO2" s="2">
        <v>106</v>
      </c>
      <c r="BP2" s="64">
        <v>40</v>
      </c>
      <c r="BQ2" s="195">
        <v>26</v>
      </c>
      <c r="BR2" s="43">
        <v>0</v>
      </c>
      <c r="BS2" s="43">
        <v>0</v>
      </c>
      <c r="BT2" s="272">
        <v>68</v>
      </c>
      <c r="BU2" s="43">
        <v>0</v>
      </c>
      <c r="BV2" s="43">
        <v>0</v>
      </c>
      <c r="BW2" s="272">
        <v>68</v>
      </c>
      <c r="BX2" s="43">
        <v>0</v>
      </c>
      <c r="BY2" s="43">
        <v>0</v>
      </c>
      <c r="BZ2" s="195">
        <v>26</v>
      </c>
      <c r="CA2" s="43">
        <v>0</v>
      </c>
      <c r="CB2" s="43">
        <v>0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72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6">
        <v>114</v>
      </c>
      <c r="CR2" s="9">
        <v>37</v>
      </c>
      <c r="CS2" s="60">
        <v>84</v>
      </c>
      <c r="CT2" s="60">
        <v>84</v>
      </c>
      <c r="CU2" s="43">
        <v>0</v>
      </c>
      <c r="CV2" s="149">
        <v>126</v>
      </c>
      <c r="CW2" s="43">
        <v>0</v>
      </c>
      <c r="CX2" s="272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43">
        <v>0</v>
      </c>
      <c r="DH2" s="43">
        <v>0</v>
      </c>
      <c r="DI2" s="60">
        <v>84</v>
      </c>
      <c r="DJ2" s="60">
        <v>84</v>
      </c>
      <c r="DK2" s="2">
        <v>107</v>
      </c>
      <c r="DL2" s="195">
        <v>26</v>
      </c>
      <c r="DM2" s="43">
        <v>0</v>
      </c>
      <c r="DN2" s="195">
        <v>26</v>
      </c>
      <c r="DO2" s="43">
        <v>0</v>
      </c>
      <c r="DP2" s="43">
        <v>0</v>
      </c>
      <c r="DQ2" s="179">
        <v>25</v>
      </c>
      <c r="DR2" s="43">
        <v>0</v>
      </c>
      <c r="DS2" s="43">
        <v>0</v>
      </c>
      <c r="DT2" s="270">
        <v>118</v>
      </c>
      <c r="DU2" s="43">
        <v>0</v>
      </c>
      <c r="DV2" s="64">
        <v>40</v>
      </c>
      <c r="DW2" s="43">
        <v>0</v>
      </c>
      <c r="DX2" s="276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50">
        <v>13</v>
      </c>
      <c r="FG2" s="150">
        <v>13</v>
      </c>
      <c r="FH2" s="150">
        <v>13</v>
      </c>
      <c r="FI2" s="150">
        <v>13</v>
      </c>
      <c r="FJ2" s="60">
        <v>84</v>
      </c>
      <c r="FK2" s="60">
        <v>84</v>
      </c>
      <c r="FL2" s="60">
        <v>84</v>
      </c>
      <c r="FM2" s="280">
        <v>69</v>
      </c>
      <c r="FN2" s="280">
        <v>69</v>
      </c>
      <c r="FO2" s="60">
        <v>84</v>
      </c>
      <c r="FP2" s="60">
        <v>84</v>
      </c>
      <c r="FQ2" s="60">
        <v>84</v>
      </c>
      <c r="FR2" s="150">
        <v>13</v>
      </c>
      <c r="FS2" s="150">
        <v>13</v>
      </c>
      <c r="FT2" s="150">
        <v>13</v>
      </c>
      <c r="FU2" s="150">
        <v>13</v>
      </c>
      <c r="FV2" s="150">
        <v>13</v>
      </c>
      <c r="FW2" s="150">
        <v>13</v>
      </c>
      <c r="FX2" s="150">
        <v>13</v>
      </c>
      <c r="FY2" s="150">
        <v>13</v>
      </c>
      <c r="FZ2" s="150">
        <v>13</v>
      </c>
      <c r="GA2" s="150">
        <v>13</v>
      </c>
      <c r="GB2" s="64">
        <v>40</v>
      </c>
      <c r="GC2" s="281">
        <v>102</v>
      </c>
      <c r="GD2" s="150">
        <v>13</v>
      </c>
      <c r="GE2" s="64">
        <v>40</v>
      </c>
      <c r="GF2" s="150">
        <v>13</v>
      </c>
      <c r="GG2" s="150">
        <v>13</v>
      </c>
      <c r="GH2" s="150">
        <v>13</v>
      </c>
      <c r="GI2" s="150">
        <v>13</v>
      </c>
      <c r="GJ2" s="150">
        <v>13</v>
      </c>
      <c r="GK2" s="150">
        <v>13</v>
      </c>
      <c r="GL2" s="150">
        <v>13</v>
      </c>
      <c r="GM2" s="150">
        <v>13</v>
      </c>
      <c r="GN2" s="150">
        <v>13</v>
      </c>
      <c r="GO2" s="22">
        <v>68</v>
      </c>
      <c r="GP2" s="150">
        <v>13</v>
      </c>
      <c r="GQ2" s="64">
        <v>40</v>
      </c>
      <c r="GR2" s="150">
        <v>13</v>
      </c>
      <c r="GS2" s="64">
        <v>40</v>
      </c>
      <c r="GT2" s="64">
        <v>40</v>
      </c>
      <c r="GU2" s="150">
        <v>13</v>
      </c>
      <c r="GV2" s="64">
        <v>40</v>
      </c>
      <c r="GW2" s="150">
        <v>13</v>
      </c>
      <c r="GX2" s="22">
        <v>68</v>
      </c>
      <c r="GY2" s="150">
        <v>13</v>
      </c>
      <c r="GZ2" s="150">
        <v>13</v>
      </c>
      <c r="HA2" s="150">
        <v>13</v>
      </c>
      <c r="HB2" s="150">
        <v>13</v>
      </c>
      <c r="HC2" s="150">
        <v>13</v>
      </c>
      <c r="HD2" s="150">
        <v>13</v>
      </c>
      <c r="HE2" s="22">
        <v>68</v>
      </c>
      <c r="HF2" s="150">
        <v>13</v>
      </c>
      <c r="HG2" s="150">
        <v>13</v>
      </c>
      <c r="HH2" s="270">
        <v>118</v>
      </c>
      <c r="HI2" s="150">
        <v>13</v>
      </c>
      <c r="HJ2" s="150">
        <v>13</v>
      </c>
      <c r="HK2" s="270">
        <v>118</v>
      </c>
      <c r="HL2" s="150">
        <v>13</v>
      </c>
      <c r="HM2" s="150">
        <v>13</v>
      </c>
      <c r="HN2" s="22">
        <v>68</v>
      </c>
      <c r="HO2" s="150">
        <v>13</v>
      </c>
      <c r="HP2" s="150">
        <v>13</v>
      </c>
      <c r="HQ2" s="150">
        <v>13</v>
      </c>
      <c r="HR2" s="150">
        <v>13</v>
      </c>
      <c r="HS2" s="150">
        <v>13</v>
      </c>
      <c r="HT2" s="150">
        <v>13</v>
      </c>
      <c r="HU2" s="150">
        <v>13</v>
      </c>
      <c r="HV2" s="150">
        <v>13</v>
      </c>
      <c r="HW2" s="150">
        <v>13</v>
      </c>
      <c r="HX2" s="64">
        <v>40</v>
      </c>
      <c r="HY2" s="150">
        <v>13</v>
      </c>
      <c r="HZ2" s="150">
        <v>13</v>
      </c>
      <c r="IA2" s="150">
        <v>13</v>
      </c>
      <c r="IB2" s="150">
        <v>13</v>
      </c>
      <c r="IC2" s="150">
        <v>13</v>
      </c>
      <c r="ID2" s="150">
        <v>13</v>
      </c>
      <c r="IE2" s="150">
        <v>13</v>
      </c>
      <c r="IF2" s="150">
        <v>13</v>
      </c>
      <c r="IG2" s="150">
        <v>13</v>
      </c>
      <c r="IH2" s="150">
        <v>13</v>
      </c>
      <c r="II2" s="150">
        <v>13</v>
      </c>
      <c r="IJ2" s="150">
        <v>13</v>
      </c>
      <c r="IK2" s="150">
        <v>13</v>
      </c>
      <c r="IL2" s="150">
        <v>13</v>
      </c>
      <c r="IM2" s="150">
        <v>13</v>
      </c>
      <c r="IN2" s="150">
        <v>13</v>
      </c>
      <c r="IO2" s="150">
        <v>13</v>
      </c>
      <c r="IP2" s="150">
        <v>13</v>
      </c>
      <c r="IQ2" s="150">
        <v>13</v>
      </c>
      <c r="IR2" s="150">
        <v>13</v>
      </c>
      <c r="IS2" s="150">
        <v>13</v>
      </c>
      <c r="IT2" s="22">
        <v>68</v>
      </c>
      <c r="IU2" s="150">
        <v>13</v>
      </c>
      <c r="IV2" s="150">
        <v>13</v>
      </c>
      <c r="IW2" s="150">
        <v>13</v>
      </c>
    </row>
    <row r="3" spans="1:257" s="42" customFormat="1" ht="20" hidden="1" customHeight="1" x14ac:dyDescent="0.2">
      <c r="A3" s="43">
        <v>1</v>
      </c>
      <c r="B3" s="43">
        <v>0</v>
      </c>
      <c r="C3" s="48">
        <v>9</v>
      </c>
      <c r="D3" s="48">
        <v>10</v>
      </c>
      <c r="E3" s="43">
        <v>0</v>
      </c>
      <c r="F3" s="241">
        <v>119</v>
      </c>
      <c r="G3" s="150">
        <v>16</v>
      </c>
      <c r="H3" s="43">
        <v>0</v>
      </c>
      <c r="I3" s="43">
        <v>0</v>
      </c>
      <c r="J3" s="43">
        <v>0</v>
      </c>
      <c r="K3" s="43">
        <v>0</v>
      </c>
      <c r="L3" s="150">
        <v>16</v>
      </c>
      <c r="M3" s="241">
        <v>119</v>
      </c>
      <c r="N3" s="43">
        <v>0</v>
      </c>
      <c r="O3" s="48">
        <v>9</v>
      </c>
      <c r="P3" s="48">
        <v>10</v>
      </c>
      <c r="Q3" s="43">
        <v>0</v>
      </c>
      <c r="R3" s="60">
        <v>84</v>
      </c>
      <c r="S3" s="167">
        <v>24</v>
      </c>
      <c r="T3" s="272">
        <v>68</v>
      </c>
      <c r="U3" s="196">
        <v>122</v>
      </c>
      <c r="V3" s="167">
        <v>24</v>
      </c>
      <c r="W3" s="272">
        <v>68</v>
      </c>
      <c r="X3" s="167">
        <v>24</v>
      </c>
      <c r="Y3" s="167">
        <v>24</v>
      </c>
      <c r="Z3" s="167">
        <v>24</v>
      </c>
      <c r="AA3" s="272">
        <v>68</v>
      </c>
      <c r="AB3" s="167">
        <v>24</v>
      </c>
      <c r="AC3" s="167">
        <v>24</v>
      </c>
      <c r="AD3" s="167">
        <v>24</v>
      </c>
      <c r="AE3" s="196">
        <v>122</v>
      </c>
      <c r="AF3" s="167">
        <v>24</v>
      </c>
      <c r="AG3" s="60">
        <v>84</v>
      </c>
      <c r="AH3" s="60">
        <v>84</v>
      </c>
      <c r="AI3" s="43">
        <v>0</v>
      </c>
      <c r="AJ3" s="272">
        <v>68</v>
      </c>
      <c r="AK3" s="43">
        <v>0</v>
      </c>
      <c r="AL3" s="43">
        <v>0</v>
      </c>
      <c r="AM3" s="272">
        <v>68</v>
      </c>
      <c r="AN3" s="43">
        <v>0</v>
      </c>
      <c r="AO3" s="2">
        <v>108</v>
      </c>
      <c r="AP3" s="43">
        <v>0</v>
      </c>
      <c r="AQ3" s="272">
        <v>68</v>
      </c>
      <c r="AR3" s="43">
        <v>0</v>
      </c>
      <c r="AS3" s="43">
        <v>0</v>
      </c>
      <c r="AT3" s="43">
        <v>0</v>
      </c>
      <c r="AU3" s="43">
        <v>0</v>
      </c>
      <c r="AV3" s="43">
        <v>0</v>
      </c>
      <c r="AW3" s="60">
        <v>84</v>
      </c>
      <c r="AX3" s="60">
        <v>84</v>
      </c>
      <c r="AY3" s="43">
        <v>0</v>
      </c>
      <c r="AZ3" s="64">
        <v>40</v>
      </c>
      <c r="BA3" s="43">
        <v>0</v>
      </c>
      <c r="BB3" s="195">
        <v>26</v>
      </c>
      <c r="BC3" s="43">
        <v>0</v>
      </c>
      <c r="BD3" s="179">
        <v>25</v>
      </c>
      <c r="BE3" s="43">
        <v>0</v>
      </c>
      <c r="BF3" s="43">
        <v>0</v>
      </c>
      <c r="BG3" s="272">
        <v>68</v>
      </c>
      <c r="BH3" s="55">
        <v>77</v>
      </c>
      <c r="BI3" s="60">
        <v>84</v>
      </c>
      <c r="BJ3" s="58">
        <v>28</v>
      </c>
      <c r="BK3" s="64">
        <v>40</v>
      </c>
      <c r="BL3" s="99">
        <v>27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11">
        <v>113</v>
      </c>
      <c r="BT3" s="272">
        <v>68</v>
      </c>
      <c r="BU3" s="43">
        <v>0</v>
      </c>
      <c r="BV3" s="43">
        <v>0</v>
      </c>
      <c r="BW3" s="272">
        <v>68</v>
      </c>
      <c r="BX3" s="43">
        <v>0</v>
      </c>
      <c r="BY3" s="43">
        <v>0</v>
      </c>
      <c r="BZ3" s="58">
        <v>35</v>
      </c>
      <c r="CA3" s="43">
        <v>0</v>
      </c>
      <c r="CB3" s="43">
        <v>0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72">
        <v>68</v>
      </c>
      <c r="CI3" s="43">
        <v>0</v>
      </c>
      <c r="CJ3" s="43">
        <v>0</v>
      </c>
      <c r="CL3" s="43">
        <v>0</v>
      </c>
      <c r="CM3" s="43">
        <v>0</v>
      </c>
      <c r="CN3" s="136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9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76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43">
        <v>0</v>
      </c>
      <c r="DP3" s="43">
        <v>0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74">
        <v>58</v>
      </c>
      <c r="DW3" s="274">
        <v>58</v>
      </c>
      <c r="DX3" s="274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9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95">
        <v>26</v>
      </c>
      <c r="EU3" s="43">
        <v>0</v>
      </c>
      <c r="EV3" s="43">
        <v>0</v>
      </c>
      <c r="EW3" s="196">
        <v>122</v>
      </c>
      <c r="EX3" s="196">
        <v>122</v>
      </c>
      <c r="EY3" s="43">
        <v>0</v>
      </c>
      <c r="EZ3" s="43">
        <v>0</v>
      </c>
      <c r="FA3" s="195">
        <v>26</v>
      </c>
      <c r="FB3" s="43">
        <v>0</v>
      </c>
      <c r="FC3" s="43">
        <v>0</v>
      </c>
      <c r="FD3" s="25">
        <v>71</v>
      </c>
      <c r="FE3" s="60">
        <v>84</v>
      </c>
      <c r="FF3" s="245">
        <v>14</v>
      </c>
      <c r="FG3" s="150">
        <v>13</v>
      </c>
      <c r="FH3" s="245">
        <v>14</v>
      </c>
      <c r="FI3" s="150">
        <v>13</v>
      </c>
      <c r="FJ3" s="150">
        <v>13</v>
      </c>
      <c r="FK3" s="150">
        <v>13</v>
      </c>
      <c r="FL3" s="55">
        <v>77</v>
      </c>
      <c r="FM3" s="280">
        <v>69</v>
      </c>
      <c r="FN3" s="280">
        <v>69</v>
      </c>
      <c r="FO3" s="55">
        <v>77</v>
      </c>
      <c r="FP3" s="150">
        <v>13</v>
      </c>
      <c r="FQ3" s="150">
        <v>13</v>
      </c>
      <c r="FR3" s="150">
        <v>13</v>
      </c>
      <c r="FS3" s="245">
        <v>14</v>
      </c>
      <c r="FT3" s="150">
        <v>13</v>
      </c>
      <c r="FU3" s="245">
        <v>14</v>
      </c>
      <c r="FV3" s="245">
        <v>14</v>
      </c>
      <c r="FW3" s="150">
        <v>13</v>
      </c>
      <c r="FX3" s="245">
        <v>14</v>
      </c>
      <c r="FY3" s="150">
        <v>13</v>
      </c>
      <c r="FZ3" s="150">
        <v>13</v>
      </c>
      <c r="GA3" s="60">
        <v>84</v>
      </c>
      <c r="GB3" s="60">
        <v>84</v>
      </c>
      <c r="GC3" s="60">
        <v>84</v>
      </c>
      <c r="GD3" s="60">
        <v>84</v>
      </c>
      <c r="GE3" s="60">
        <v>84</v>
      </c>
      <c r="GF3" s="60">
        <v>84</v>
      </c>
      <c r="GG3" s="150">
        <v>13</v>
      </c>
      <c r="GH3" s="150">
        <v>13</v>
      </c>
      <c r="GI3" s="245">
        <v>14</v>
      </c>
      <c r="GJ3" s="150">
        <v>13</v>
      </c>
      <c r="GK3" s="245">
        <v>14</v>
      </c>
      <c r="GL3" s="151">
        <v>85</v>
      </c>
      <c r="GM3" s="151">
        <v>85</v>
      </c>
      <c r="GN3" s="161">
        <v>78</v>
      </c>
      <c r="GO3" s="22">
        <v>68</v>
      </c>
      <c r="GP3" s="150">
        <v>13</v>
      </c>
      <c r="GQ3" s="288">
        <v>87</v>
      </c>
      <c r="GR3" s="150">
        <v>13</v>
      </c>
      <c r="GS3" s="161">
        <v>78</v>
      </c>
      <c r="GT3" s="161">
        <v>78</v>
      </c>
      <c r="GU3" s="150">
        <v>13</v>
      </c>
      <c r="GV3" s="288">
        <v>87</v>
      </c>
      <c r="GW3" s="150">
        <v>13</v>
      </c>
      <c r="GX3" s="22">
        <v>68</v>
      </c>
      <c r="GY3" s="161">
        <v>78</v>
      </c>
      <c r="GZ3" s="151">
        <v>85</v>
      </c>
      <c r="HA3" s="151">
        <v>85</v>
      </c>
      <c r="HB3" s="245">
        <v>14</v>
      </c>
      <c r="HC3" s="150">
        <v>13</v>
      </c>
      <c r="HD3" s="245">
        <v>14</v>
      </c>
      <c r="HE3" s="22">
        <v>68</v>
      </c>
      <c r="HF3" s="150">
        <v>13</v>
      </c>
      <c r="HG3" s="150">
        <v>13</v>
      </c>
      <c r="HH3" s="150">
        <v>13</v>
      </c>
      <c r="HI3" s="150">
        <v>13</v>
      </c>
      <c r="HJ3" s="150">
        <v>13</v>
      </c>
      <c r="HK3" s="150">
        <v>13</v>
      </c>
      <c r="HL3" s="150">
        <v>13</v>
      </c>
      <c r="HM3" s="150">
        <v>13</v>
      </c>
      <c r="HN3" s="22">
        <v>68</v>
      </c>
      <c r="HO3" s="245">
        <v>14</v>
      </c>
      <c r="HP3" s="150">
        <v>13</v>
      </c>
      <c r="HQ3" s="245">
        <v>14</v>
      </c>
      <c r="HR3" s="150">
        <v>13</v>
      </c>
      <c r="HS3" s="150">
        <v>13</v>
      </c>
      <c r="HT3" s="245">
        <v>14</v>
      </c>
      <c r="HU3" s="150">
        <v>13</v>
      </c>
      <c r="HV3" s="245">
        <v>14</v>
      </c>
      <c r="HW3" s="150">
        <v>13</v>
      </c>
      <c r="HX3" s="161">
        <v>78</v>
      </c>
      <c r="HY3" s="150">
        <v>13</v>
      </c>
      <c r="HZ3" s="64">
        <v>40</v>
      </c>
      <c r="IA3" s="150">
        <v>13</v>
      </c>
      <c r="IB3" s="150">
        <v>13</v>
      </c>
      <c r="IC3" s="150">
        <v>13</v>
      </c>
      <c r="ID3" s="150">
        <v>13</v>
      </c>
      <c r="IE3" s="150">
        <v>13</v>
      </c>
      <c r="IF3" s="150">
        <v>13</v>
      </c>
      <c r="IG3" s="150">
        <v>13</v>
      </c>
      <c r="IH3" s="150">
        <v>13</v>
      </c>
      <c r="II3" s="150">
        <v>13</v>
      </c>
      <c r="IJ3" s="150">
        <v>13</v>
      </c>
      <c r="IK3" s="150">
        <v>13</v>
      </c>
      <c r="IL3" s="150">
        <v>13</v>
      </c>
      <c r="IM3" s="150">
        <v>13</v>
      </c>
      <c r="IN3" s="150">
        <v>13</v>
      </c>
      <c r="IO3" s="150">
        <v>13</v>
      </c>
      <c r="IP3" s="150">
        <v>13</v>
      </c>
      <c r="IQ3" s="150">
        <v>13</v>
      </c>
      <c r="IR3" s="150">
        <v>13</v>
      </c>
      <c r="IS3" s="189">
        <v>26</v>
      </c>
      <c r="IT3" s="22">
        <v>68</v>
      </c>
      <c r="IU3" s="189">
        <v>26</v>
      </c>
      <c r="IV3" s="150">
        <v>13</v>
      </c>
      <c r="IW3" s="150">
        <v>13</v>
      </c>
    </row>
    <row r="4" spans="1:257" s="42" customFormat="1" ht="20" hidden="1" customHeight="1" x14ac:dyDescent="0.2">
      <c r="A4" s="43">
        <v>2</v>
      </c>
      <c r="B4" s="43">
        <v>0</v>
      </c>
      <c r="C4" s="43">
        <v>0</v>
      </c>
      <c r="D4" s="43">
        <v>0</v>
      </c>
      <c r="E4" s="43">
        <v>0</v>
      </c>
      <c r="F4" s="274">
        <v>58</v>
      </c>
      <c r="G4" s="150">
        <v>16</v>
      </c>
      <c r="H4" s="43">
        <v>0</v>
      </c>
      <c r="I4" s="43">
        <v>0</v>
      </c>
      <c r="J4" s="43">
        <v>0</v>
      </c>
      <c r="K4" s="43">
        <v>0</v>
      </c>
      <c r="L4" s="150">
        <v>16</v>
      </c>
      <c r="M4" s="274">
        <v>58</v>
      </c>
      <c r="N4" s="43">
        <v>0</v>
      </c>
      <c r="O4" s="43">
        <v>0</v>
      </c>
      <c r="P4" s="43">
        <v>0</v>
      </c>
      <c r="Q4" s="43">
        <v>0</v>
      </c>
      <c r="R4" s="60">
        <v>84</v>
      </c>
      <c r="S4" s="167">
        <v>24</v>
      </c>
      <c r="T4" s="272">
        <v>68</v>
      </c>
      <c r="U4" s="200">
        <v>90</v>
      </c>
      <c r="V4" s="167">
        <v>24</v>
      </c>
      <c r="W4" s="272">
        <v>68</v>
      </c>
      <c r="X4" s="167">
        <v>24</v>
      </c>
      <c r="Y4" s="167">
        <v>24</v>
      </c>
      <c r="Z4" s="167">
        <v>24</v>
      </c>
      <c r="AA4" s="272">
        <v>68</v>
      </c>
      <c r="AB4" s="167">
        <v>24</v>
      </c>
      <c r="AC4" s="167">
        <v>24</v>
      </c>
      <c r="AD4" s="167">
        <v>24</v>
      </c>
      <c r="AE4" s="200">
        <v>90</v>
      </c>
      <c r="AF4" s="167">
        <v>24</v>
      </c>
      <c r="AG4" s="60">
        <v>84</v>
      </c>
      <c r="AH4" s="60">
        <v>84</v>
      </c>
      <c r="AI4" s="43">
        <v>0</v>
      </c>
      <c r="AJ4" s="272">
        <v>68</v>
      </c>
      <c r="AK4" s="195">
        <v>26</v>
      </c>
      <c r="AL4" s="43">
        <v>0</v>
      </c>
      <c r="AM4" s="272">
        <v>68</v>
      </c>
      <c r="AN4" s="43">
        <v>0</v>
      </c>
      <c r="AO4" s="195">
        <v>26</v>
      </c>
      <c r="AP4" s="291">
        <v>26</v>
      </c>
      <c r="AQ4" s="272">
        <v>68</v>
      </c>
      <c r="AR4" s="43">
        <v>0</v>
      </c>
      <c r="AS4" s="43">
        <v>0</v>
      </c>
      <c r="AT4" s="195">
        <v>26</v>
      </c>
      <c r="AU4" s="179">
        <v>25</v>
      </c>
      <c r="AV4" s="43">
        <v>0</v>
      </c>
      <c r="AW4" s="60">
        <v>84</v>
      </c>
      <c r="AX4" s="60">
        <v>84</v>
      </c>
      <c r="AY4" s="43">
        <v>0</v>
      </c>
      <c r="AZ4" s="64">
        <v>40</v>
      </c>
      <c r="BA4" s="43">
        <v>0</v>
      </c>
      <c r="BB4" s="43">
        <v>0</v>
      </c>
      <c r="BC4" s="43">
        <v>0</v>
      </c>
      <c r="BD4" s="43">
        <v>0</v>
      </c>
      <c r="BE4" s="43">
        <v>0</v>
      </c>
      <c r="BF4" s="43">
        <v>0</v>
      </c>
      <c r="BG4" s="272">
        <v>68</v>
      </c>
      <c r="BH4" s="55">
        <v>77</v>
      </c>
      <c r="BI4" s="15">
        <v>75</v>
      </c>
      <c r="BJ4" s="64">
        <v>40</v>
      </c>
      <c r="BK4" s="64">
        <v>40</v>
      </c>
      <c r="BL4" s="64">
        <v>40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72">
        <v>68</v>
      </c>
      <c r="BU4" s="43">
        <v>0</v>
      </c>
      <c r="BV4" s="43">
        <v>0</v>
      </c>
      <c r="BW4" s="272">
        <v>68</v>
      </c>
      <c r="BX4" s="43">
        <v>0</v>
      </c>
      <c r="BY4" s="43">
        <v>0</v>
      </c>
      <c r="BZ4" s="43">
        <v>0</v>
      </c>
      <c r="CA4" s="43">
        <v>0</v>
      </c>
      <c r="CB4" s="43">
        <v>0</v>
      </c>
      <c r="CC4" s="60">
        <v>84</v>
      </c>
      <c r="CD4" s="60">
        <v>84</v>
      </c>
      <c r="CE4" s="43">
        <v>0</v>
      </c>
      <c r="CF4" s="290">
        <v>62</v>
      </c>
      <c r="CG4" s="43">
        <v>0</v>
      </c>
      <c r="CH4" s="272">
        <v>68</v>
      </c>
      <c r="CI4" s="60">
        <v>84</v>
      </c>
      <c r="CJ4" s="274">
        <v>58</v>
      </c>
      <c r="CK4" s="136">
        <v>114</v>
      </c>
      <c r="CL4" s="279">
        <v>59</v>
      </c>
      <c r="CM4" s="43">
        <v>0</v>
      </c>
      <c r="CN4" s="43">
        <v>0</v>
      </c>
      <c r="CO4" s="279">
        <v>59</v>
      </c>
      <c r="CP4" s="43">
        <v>0</v>
      </c>
      <c r="CQ4" s="43">
        <v>0</v>
      </c>
      <c r="CR4" s="279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9">
        <v>25</v>
      </c>
      <c r="CY4" s="43">
        <v>0</v>
      </c>
      <c r="CZ4" s="43">
        <v>0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74">
        <v>58</v>
      </c>
      <c r="DG4" s="274">
        <v>58</v>
      </c>
      <c r="DH4" s="274">
        <v>58</v>
      </c>
      <c r="DI4" s="60">
        <v>84</v>
      </c>
      <c r="DJ4" s="60">
        <v>84</v>
      </c>
      <c r="DK4" s="43">
        <v>0</v>
      </c>
      <c r="DL4" s="179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43">
        <v>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61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200">
        <v>90</v>
      </c>
      <c r="EX4" s="200">
        <v>90</v>
      </c>
      <c r="EY4" s="43">
        <v>0</v>
      </c>
      <c r="EZ4" s="43">
        <v>0</v>
      </c>
      <c r="FA4" s="43">
        <v>0</v>
      </c>
      <c r="FB4" s="43">
        <v>0</v>
      </c>
      <c r="FC4" s="278">
        <v>47</v>
      </c>
      <c r="FD4" s="25">
        <v>71</v>
      </c>
      <c r="FE4" s="60">
        <v>84</v>
      </c>
      <c r="FF4" s="150">
        <v>13</v>
      </c>
      <c r="FG4" s="245">
        <v>14</v>
      </c>
      <c r="FH4" s="150">
        <v>13</v>
      </c>
      <c r="FI4" s="150">
        <v>13</v>
      </c>
      <c r="FJ4" s="150">
        <v>13</v>
      </c>
      <c r="FK4" s="64">
        <v>40</v>
      </c>
      <c r="FL4" s="55">
        <v>77</v>
      </c>
      <c r="FM4" s="55">
        <v>77</v>
      </c>
      <c r="FN4" s="55">
        <v>77</v>
      </c>
      <c r="FO4" s="55">
        <v>77</v>
      </c>
      <c r="FP4" s="64">
        <v>40</v>
      </c>
      <c r="FQ4" s="150">
        <v>13</v>
      </c>
      <c r="FR4" s="150">
        <v>13</v>
      </c>
      <c r="FS4" s="150">
        <v>13</v>
      </c>
      <c r="FT4" s="245">
        <v>14</v>
      </c>
      <c r="FU4" s="150">
        <v>13</v>
      </c>
      <c r="FV4" s="150">
        <v>13</v>
      </c>
      <c r="FW4" s="53">
        <v>123</v>
      </c>
      <c r="FX4" s="150">
        <v>13</v>
      </c>
      <c r="FY4" s="64">
        <v>40</v>
      </c>
      <c r="FZ4" s="282">
        <v>108</v>
      </c>
      <c r="GA4" s="150">
        <v>13</v>
      </c>
      <c r="GB4" s="150">
        <v>13</v>
      </c>
      <c r="GC4" s="150">
        <v>13</v>
      </c>
      <c r="GD4" s="150">
        <v>13</v>
      </c>
      <c r="GE4" s="150">
        <v>13</v>
      </c>
      <c r="GF4" s="150">
        <v>13</v>
      </c>
      <c r="GG4" s="282">
        <v>108</v>
      </c>
      <c r="GH4" s="64">
        <v>40</v>
      </c>
      <c r="GI4" s="150">
        <v>13</v>
      </c>
      <c r="GJ4" s="53">
        <v>124</v>
      </c>
      <c r="GK4" s="150">
        <v>13</v>
      </c>
      <c r="GL4" s="151">
        <v>85</v>
      </c>
      <c r="GM4" s="77">
        <v>42</v>
      </c>
      <c r="GN4" s="284">
        <v>74</v>
      </c>
      <c r="GO4" s="22">
        <v>68</v>
      </c>
      <c r="GP4" s="150">
        <v>13</v>
      </c>
      <c r="GQ4" s="64">
        <v>40</v>
      </c>
      <c r="GR4" s="276">
        <v>105</v>
      </c>
      <c r="GS4" s="64">
        <v>40</v>
      </c>
      <c r="GT4" s="64">
        <v>40</v>
      </c>
      <c r="GU4" s="276">
        <v>104</v>
      </c>
      <c r="GV4" s="64">
        <v>40</v>
      </c>
      <c r="GW4" s="150">
        <v>13</v>
      </c>
      <c r="GX4" s="22">
        <v>68</v>
      </c>
      <c r="GY4" s="282">
        <v>72</v>
      </c>
      <c r="GZ4" s="77">
        <v>41</v>
      </c>
      <c r="HA4" s="151">
        <v>85</v>
      </c>
      <c r="HB4" s="150">
        <v>13</v>
      </c>
      <c r="HC4" s="245">
        <v>14</v>
      </c>
      <c r="HD4" s="150">
        <v>13</v>
      </c>
      <c r="HE4" s="22">
        <v>68</v>
      </c>
      <c r="HF4" s="150">
        <v>13</v>
      </c>
      <c r="HG4" s="150">
        <v>13</v>
      </c>
      <c r="HH4" s="282">
        <v>36</v>
      </c>
      <c r="HI4" s="281">
        <v>102</v>
      </c>
      <c r="HJ4" s="150">
        <v>13</v>
      </c>
      <c r="HK4" s="284">
        <v>38</v>
      </c>
      <c r="HL4" s="150">
        <v>13</v>
      </c>
      <c r="HM4" s="150">
        <v>13</v>
      </c>
      <c r="HN4" s="22">
        <v>68</v>
      </c>
      <c r="HO4" s="150">
        <v>13</v>
      </c>
      <c r="HP4" s="245">
        <v>14</v>
      </c>
      <c r="HQ4" s="150">
        <v>13</v>
      </c>
      <c r="HR4" s="150">
        <v>13</v>
      </c>
      <c r="HS4" s="150">
        <v>13</v>
      </c>
      <c r="HT4" s="150">
        <v>13</v>
      </c>
      <c r="HU4" s="289">
        <v>13</v>
      </c>
      <c r="HV4" s="150">
        <v>13</v>
      </c>
      <c r="HW4" s="150">
        <v>13</v>
      </c>
      <c r="HX4" s="150">
        <v>13</v>
      </c>
      <c r="HY4" s="150">
        <v>13</v>
      </c>
      <c r="HZ4" s="161">
        <v>78</v>
      </c>
      <c r="IA4" s="150">
        <v>13</v>
      </c>
      <c r="IB4" s="150">
        <v>13</v>
      </c>
      <c r="IC4" s="64">
        <v>40</v>
      </c>
      <c r="ID4" s="64">
        <v>40</v>
      </c>
      <c r="IE4" s="64">
        <v>40</v>
      </c>
      <c r="IF4" s="281">
        <v>102</v>
      </c>
      <c r="IG4" s="150">
        <v>13</v>
      </c>
      <c r="IH4" s="150">
        <v>13</v>
      </c>
      <c r="II4" s="150">
        <v>13</v>
      </c>
      <c r="IJ4" s="150">
        <v>13</v>
      </c>
      <c r="IK4" s="245">
        <v>14</v>
      </c>
      <c r="IL4" s="150">
        <v>13</v>
      </c>
      <c r="IM4" s="150">
        <v>13</v>
      </c>
      <c r="IN4" s="150">
        <v>13</v>
      </c>
      <c r="IO4" s="150">
        <v>13</v>
      </c>
      <c r="IP4" s="150">
        <v>13</v>
      </c>
      <c r="IQ4" s="139">
        <v>35</v>
      </c>
      <c r="IR4" s="64">
        <v>40</v>
      </c>
      <c r="IS4" s="150">
        <v>13</v>
      </c>
      <c r="IT4" s="150">
        <v>13</v>
      </c>
      <c r="IU4" s="150">
        <v>13</v>
      </c>
      <c r="IV4" s="64">
        <v>40</v>
      </c>
      <c r="IW4" s="150">
        <v>13</v>
      </c>
    </row>
    <row r="5" spans="1:257" s="42" customFormat="1" ht="20" hidden="1" customHeight="1" x14ac:dyDescent="0.2">
      <c r="A5" s="43">
        <v>3</v>
      </c>
      <c r="B5" s="43">
        <v>0</v>
      </c>
      <c r="C5" s="43">
        <v>0</v>
      </c>
      <c r="D5" s="43">
        <v>0</v>
      </c>
      <c r="E5" s="43">
        <v>0</v>
      </c>
      <c r="F5" s="43">
        <v>0</v>
      </c>
      <c r="G5" s="150">
        <v>16</v>
      </c>
      <c r="H5" s="43">
        <v>0</v>
      </c>
      <c r="I5" s="271">
        <v>120</v>
      </c>
      <c r="J5" s="43">
        <v>0</v>
      </c>
      <c r="K5" s="43">
        <v>0</v>
      </c>
      <c r="L5" s="150">
        <v>16</v>
      </c>
      <c r="M5" s="43">
        <v>0</v>
      </c>
      <c r="N5" s="43">
        <v>0</v>
      </c>
      <c r="O5" s="43">
        <v>0</v>
      </c>
      <c r="P5" s="43">
        <v>0</v>
      </c>
      <c r="Q5" s="43">
        <v>0</v>
      </c>
      <c r="R5" s="60">
        <v>84</v>
      </c>
      <c r="S5" s="167">
        <v>24</v>
      </c>
      <c r="T5" s="272">
        <v>68</v>
      </c>
      <c r="U5" s="167">
        <v>24</v>
      </c>
      <c r="V5" s="167">
        <v>24</v>
      </c>
      <c r="W5" s="272">
        <v>68</v>
      </c>
      <c r="X5" s="167">
        <v>24</v>
      </c>
      <c r="Y5" s="167">
        <v>24</v>
      </c>
      <c r="Z5" s="167">
        <v>24</v>
      </c>
      <c r="AA5" s="272">
        <v>68</v>
      </c>
      <c r="AB5" s="167">
        <v>24</v>
      </c>
      <c r="AC5" s="167">
        <v>24</v>
      </c>
      <c r="AD5" s="167">
        <v>24</v>
      </c>
      <c r="AE5" s="167">
        <v>24</v>
      </c>
      <c r="AF5" s="167">
        <v>24</v>
      </c>
      <c r="AG5" s="60">
        <v>84</v>
      </c>
      <c r="AH5" s="60">
        <v>84</v>
      </c>
      <c r="AI5" s="43">
        <v>0</v>
      </c>
      <c r="AJ5" s="272">
        <v>68</v>
      </c>
      <c r="AK5" s="43">
        <v>0</v>
      </c>
      <c r="AL5" s="43">
        <v>0</v>
      </c>
      <c r="AM5" s="272">
        <v>68</v>
      </c>
      <c r="AN5" s="43">
        <v>0</v>
      </c>
      <c r="AO5" s="43">
        <v>0</v>
      </c>
      <c r="AP5" s="43">
        <v>0</v>
      </c>
      <c r="AQ5" s="272">
        <v>68</v>
      </c>
      <c r="AR5" s="43">
        <v>0</v>
      </c>
      <c r="AS5" s="43">
        <v>0</v>
      </c>
      <c r="AT5" s="43">
        <v>0</v>
      </c>
      <c r="AU5" s="43">
        <v>0</v>
      </c>
      <c r="AV5" s="43">
        <v>0</v>
      </c>
      <c r="AW5" s="60">
        <v>84</v>
      </c>
      <c r="AX5" s="60">
        <v>84</v>
      </c>
      <c r="AY5" s="43">
        <v>0</v>
      </c>
      <c r="AZ5" s="64">
        <v>40</v>
      </c>
      <c r="BA5" s="43">
        <v>0</v>
      </c>
      <c r="BB5" s="43">
        <v>0</v>
      </c>
      <c r="BC5" s="43">
        <v>0</v>
      </c>
      <c r="BD5" s="43">
        <v>0</v>
      </c>
      <c r="BE5" s="43">
        <v>0</v>
      </c>
      <c r="BF5" s="55">
        <v>77</v>
      </c>
      <c r="BG5" s="272">
        <v>68</v>
      </c>
      <c r="BH5" s="55">
        <v>77</v>
      </c>
      <c r="BI5" s="60">
        <v>84</v>
      </c>
      <c r="BJ5" s="77">
        <v>45</v>
      </c>
      <c r="BK5" s="64">
        <v>40</v>
      </c>
      <c r="BL5" s="77">
        <v>46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72">
        <v>68</v>
      </c>
      <c r="BU5" s="43">
        <v>0</v>
      </c>
      <c r="BV5" s="43">
        <v>0</v>
      </c>
      <c r="BW5" s="272">
        <v>68</v>
      </c>
      <c r="BX5" s="43">
        <v>0</v>
      </c>
      <c r="BY5" s="43">
        <v>0</v>
      </c>
      <c r="BZ5" s="43">
        <v>0</v>
      </c>
      <c r="CA5" s="43">
        <v>0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72">
        <v>68</v>
      </c>
      <c r="CI5" s="60">
        <v>84</v>
      </c>
      <c r="CJ5" s="273">
        <v>50</v>
      </c>
      <c r="CK5" s="273">
        <v>50</v>
      </c>
      <c r="CL5" s="273">
        <v>50</v>
      </c>
      <c r="CM5" s="273">
        <v>50</v>
      </c>
      <c r="CN5" s="273">
        <v>50</v>
      </c>
      <c r="CO5" s="273">
        <v>50</v>
      </c>
      <c r="CP5" s="273">
        <v>50</v>
      </c>
      <c r="CQ5" s="273">
        <v>50</v>
      </c>
      <c r="CR5" s="273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43">
        <v>0</v>
      </c>
      <c r="DB5" s="43">
        <v>0</v>
      </c>
      <c r="DC5" s="274">
        <v>58</v>
      </c>
      <c r="DD5" s="274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43">
        <v>0</v>
      </c>
      <c r="DL5" s="43">
        <v>0</v>
      </c>
      <c r="DM5" s="43">
        <v>0</v>
      </c>
      <c r="DN5" s="179">
        <v>25</v>
      </c>
      <c r="DO5" s="43">
        <v>0</v>
      </c>
      <c r="DP5" s="64">
        <v>40</v>
      </c>
      <c r="DQ5" s="43">
        <v>0</v>
      </c>
      <c r="DR5" s="274">
        <v>58</v>
      </c>
      <c r="DS5" s="274">
        <v>58</v>
      </c>
      <c r="DT5" s="275">
        <v>62</v>
      </c>
      <c r="DU5" s="43">
        <v>0</v>
      </c>
      <c r="DV5" s="43">
        <v>0</v>
      </c>
      <c r="DW5" s="179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61">
        <v>79</v>
      </c>
      <c r="EG5" s="161">
        <v>79</v>
      </c>
      <c r="EH5" s="43">
        <v>0</v>
      </c>
      <c r="EI5" s="161">
        <v>79</v>
      </c>
      <c r="EJ5" s="161">
        <v>79</v>
      </c>
      <c r="EK5" s="161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79">
        <v>59</v>
      </c>
      <c r="ES5" s="279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79">
        <v>59</v>
      </c>
      <c r="FC5" s="279">
        <v>59</v>
      </c>
      <c r="FD5" s="25">
        <v>71</v>
      </c>
      <c r="FE5" s="60">
        <v>84</v>
      </c>
      <c r="FF5" s="245">
        <v>14</v>
      </c>
      <c r="FG5" s="150">
        <v>13</v>
      </c>
      <c r="FH5" s="245">
        <v>14</v>
      </c>
      <c r="FI5" s="150">
        <v>13</v>
      </c>
      <c r="FJ5" s="150">
        <v>13</v>
      </c>
      <c r="FK5" s="161">
        <v>78</v>
      </c>
      <c r="FL5" s="150">
        <v>13</v>
      </c>
      <c r="FM5" s="150">
        <v>13</v>
      </c>
      <c r="FN5" s="150">
        <v>13</v>
      </c>
      <c r="FO5" s="150">
        <v>13</v>
      </c>
      <c r="FP5" s="161">
        <v>78</v>
      </c>
      <c r="FQ5" s="150">
        <v>13</v>
      </c>
      <c r="FR5" s="150">
        <v>13</v>
      </c>
      <c r="FS5" s="245">
        <v>14</v>
      </c>
      <c r="FT5" s="150">
        <v>13</v>
      </c>
      <c r="FU5" s="245">
        <v>14</v>
      </c>
      <c r="FV5" s="245">
        <v>14</v>
      </c>
      <c r="FW5" s="61">
        <v>90</v>
      </c>
      <c r="FX5" s="245">
        <v>14</v>
      </c>
      <c r="FY5" s="60">
        <v>84</v>
      </c>
      <c r="FZ5" s="150">
        <v>13</v>
      </c>
      <c r="GA5" s="64">
        <v>40</v>
      </c>
      <c r="GB5" s="150">
        <v>13</v>
      </c>
      <c r="GC5" s="60">
        <v>84</v>
      </c>
      <c r="GD5" s="60">
        <v>84</v>
      </c>
      <c r="GE5" s="150">
        <v>13</v>
      </c>
      <c r="GF5" s="64">
        <v>40</v>
      </c>
      <c r="GG5" s="150">
        <v>13</v>
      </c>
      <c r="GH5" s="60">
        <v>84</v>
      </c>
      <c r="GI5" s="245">
        <v>14</v>
      </c>
      <c r="GJ5" s="61">
        <v>90</v>
      </c>
      <c r="GK5" s="245">
        <v>14</v>
      </c>
      <c r="GL5" s="151">
        <v>85</v>
      </c>
      <c r="GM5" s="151">
        <v>85</v>
      </c>
      <c r="GN5" s="161">
        <v>78</v>
      </c>
      <c r="GO5" s="22">
        <v>68</v>
      </c>
      <c r="GP5" s="288">
        <v>87</v>
      </c>
      <c r="GQ5" s="151">
        <v>85</v>
      </c>
      <c r="GR5" s="151">
        <v>85</v>
      </c>
      <c r="GS5" s="151">
        <v>85</v>
      </c>
      <c r="GT5" s="151">
        <v>85</v>
      </c>
      <c r="GU5" s="151">
        <v>85</v>
      </c>
      <c r="GV5" s="151">
        <v>85</v>
      </c>
      <c r="GW5" s="288">
        <v>87</v>
      </c>
      <c r="GX5" s="22">
        <v>68</v>
      </c>
      <c r="GY5" s="161">
        <v>78</v>
      </c>
      <c r="GZ5" s="151">
        <v>85</v>
      </c>
      <c r="HA5" s="151">
        <v>85</v>
      </c>
      <c r="HB5" s="150">
        <v>13</v>
      </c>
      <c r="HC5" s="150">
        <v>13</v>
      </c>
      <c r="HD5" s="150">
        <v>13</v>
      </c>
      <c r="HE5" s="22">
        <v>68</v>
      </c>
      <c r="HF5" s="150">
        <v>13</v>
      </c>
      <c r="HG5" s="150">
        <v>13</v>
      </c>
      <c r="HH5" s="287">
        <v>87</v>
      </c>
      <c r="HI5" s="151">
        <v>85</v>
      </c>
      <c r="HJ5" s="151">
        <v>85</v>
      </c>
      <c r="HK5" s="287">
        <v>87</v>
      </c>
      <c r="HL5" s="150">
        <v>13</v>
      </c>
      <c r="HM5" s="150">
        <v>13</v>
      </c>
      <c r="HN5" s="22">
        <v>68</v>
      </c>
      <c r="HO5" s="150">
        <v>13</v>
      </c>
      <c r="HP5" s="150">
        <v>13</v>
      </c>
      <c r="HQ5" s="150">
        <v>13</v>
      </c>
      <c r="HR5" s="150">
        <v>13</v>
      </c>
      <c r="HS5" s="150">
        <v>13</v>
      </c>
      <c r="HT5" s="150">
        <v>13</v>
      </c>
      <c r="HU5" s="150">
        <v>13</v>
      </c>
      <c r="HV5" s="150">
        <v>13</v>
      </c>
      <c r="HW5" s="150">
        <v>13</v>
      </c>
      <c r="HX5" s="150">
        <v>13</v>
      </c>
      <c r="HY5" s="150">
        <v>13</v>
      </c>
      <c r="HZ5" s="150">
        <v>13</v>
      </c>
      <c r="IA5" s="150">
        <v>13</v>
      </c>
      <c r="IB5" s="287">
        <v>87</v>
      </c>
      <c r="IC5" s="151">
        <v>85</v>
      </c>
      <c r="ID5" s="22">
        <v>68</v>
      </c>
      <c r="IE5" s="151">
        <v>85</v>
      </c>
      <c r="IF5" s="287">
        <v>87</v>
      </c>
      <c r="IG5" s="150">
        <v>13</v>
      </c>
      <c r="IH5" s="150">
        <v>13</v>
      </c>
      <c r="II5" s="150">
        <v>13</v>
      </c>
      <c r="IJ5" s="150">
        <v>13</v>
      </c>
      <c r="IK5" s="150">
        <v>13</v>
      </c>
      <c r="IL5" s="150">
        <v>13</v>
      </c>
      <c r="IM5" s="150">
        <v>13</v>
      </c>
      <c r="IN5" s="150">
        <v>13</v>
      </c>
      <c r="IO5" s="150">
        <v>13</v>
      </c>
      <c r="IP5" s="169">
        <v>40</v>
      </c>
      <c r="IQ5" s="150">
        <v>13</v>
      </c>
      <c r="IR5" s="287">
        <v>87</v>
      </c>
      <c r="IS5" s="151">
        <v>85</v>
      </c>
      <c r="IT5" s="151">
        <v>85</v>
      </c>
      <c r="IU5" s="151">
        <v>85</v>
      </c>
      <c r="IV5" s="287">
        <v>87</v>
      </c>
      <c r="IW5" s="150">
        <v>13</v>
      </c>
    </row>
    <row r="6" spans="1:257" s="42" customFormat="1" ht="20" hidden="1" customHeight="1" x14ac:dyDescent="0.2">
      <c r="A6" s="43">
        <v>4</v>
      </c>
      <c r="B6" s="43">
        <v>0</v>
      </c>
      <c r="C6" s="53">
        <v>124</v>
      </c>
      <c r="D6" s="233">
        <v>59</v>
      </c>
      <c r="E6" s="43">
        <v>0</v>
      </c>
      <c r="F6" s="43">
        <v>0</v>
      </c>
      <c r="G6" s="150">
        <v>16</v>
      </c>
      <c r="H6" s="43">
        <v>0</v>
      </c>
      <c r="I6" s="271">
        <v>120</v>
      </c>
      <c r="J6" s="43">
        <v>0</v>
      </c>
      <c r="K6" s="43">
        <v>0</v>
      </c>
      <c r="L6" s="150">
        <v>16</v>
      </c>
      <c r="M6" s="43">
        <v>0</v>
      </c>
      <c r="N6" s="43">
        <v>0</v>
      </c>
      <c r="O6" s="233">
        <v>59</v>
      </c>
      <c r="P6" s="53">
        <v>124</v>
      </c>
      <c r="Q6" s="43">
        <v>0</v>
      </c>
      <c r="R6" s="60">
        <v>84</v>
      </c>
      <c r="S6" s="167">
        <v>24</v>
      </c>
      <c r="T6" s="272">
        <v>68</v>
      </c>
      <c r="U6" s="167">
        <v>24</v>
      </c>
      <c r="V6" s="167">
        <v>24</v>
      </c>
      <c r="W6" s="272">
        <v>68</v>
      </c>
      <c r="X6" s="167">
        <v>24</v>
      </c>
      <c r="Y6" s="167">
        <v>24</v>
      </c>
      <c r="Z6" s="167">
        <v>24</v>
      </c>
      <c r="AA6" s="272">
        <v>68</v>
      </c>
      <c r="AB6" s="167">
        <v>24</v>
      </c>
      <c r="AC6" s="64">
        <v>40</v>
      </c>
      <c r="AD6" s="167">
        <v>24</v>
      </c>
      <c r="AE6" s="64">
        <v>40</v>
      </c>
      <c r="AF6" s="167">
        <v>24</v>
      </c>
      <c r="AG6" s="60">
        <v>84</v>
      </c>
      <c r="AH6" s="60">
        <v>84</v>
      </c>
      <c r="AI6" s="43">
        <v>0</v>
      </c>
      <c r="AJ6" s="272">
        <v>68</v>
      </c>
      <c r="AK6" s="43">
        <v>0</v>
      </c>
      <c r="AL6" s="43">
        <v>0</v>
      </c>
      <c r="AM6" s="272">
        <v>68</v>
      </c>
      <c r="AN6" s="43">
        <v>0</v>
      </c>
      <c r="AO6" s="43">
        <v>0</v>
      </c>
      <c r="AP6" s="43">
        <v>0</v>
      </c>
      <c r="AQ6" s="272">
        <v>68</v>
      </c>
      <c r="AR6" s="43">
        <v>0</v>
      </c>
      <c r="AS6" s="43">
        <v>0</v>
      </c>
      <c r="AT6" s="43">
        <v>0</v>
      </c>
      <c r="AU6" s="43">
        <v>0</v>
      </c>
      <c r="AV6" s="64">
        <v>40</v>
      </c>
      <c r="AW6" s="60">
        <v>84</v>
      </c>
      <c r="AX6" s="60">
        <v>84</v>
      </c>
      <c r="AY6" s="43">
        <v>0</v>
      </c>
      <c r="AZ6" s="15">
        <v>39</v>
      </c>
      <c r="BA6" s="43">
        <v>0</v>
      </c>
      <c r="BB6" s="43">
        <v>0</v>
      </c>
      <c r="BC6" s="43">
        <v>0</v>
      </c>
      <c r="BD6" s="43">
        <v>0</v>
      </c>
      <c r="BE6" s="55">
        <v>77</v>
      </c>
      <c r="BF6" s="55">
        <v>77</v>
      </c>
      <c r="BG6" s="272">
        <v>68</v>
      </c>
      <c r="BH6" s="55">
        <v>77</v>
      </c>
      <c r="BI6" s="60">
        <v>84</v>
      </c>
      <c r="BJ6" s="60">
        <v>84</v>
      </c>
      <c r="BK6" s="64">
        <v>40</v>
      </c>
      <c r="BL6" s="60">
        <v>84</v>
      </c>
      <c r="BM6" s="60">
        <v>84</v>
      </c>
      <c r="BN6" s="60">
        <v>84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272">
        <v>68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179">
        <v>25</v>
      </c>
      <c r="CA6" s="43">
        <v>0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9">
        <v>25</v>
      </c>
      <c r="CH6" s="272">
        <v>68</v>
      </c>
      <c r="CI6" s="60">
        <v>84</v>
      </c>
      <c r="CJ6" s="273">
        <v>51</v>
      </c>
      <c r="CK6" s="273">
        <v>51</v>
      </c>
      <c r="CL6" s="273">
        <v>51</v>
      </c>
      <c r="CM6" s="273">
        <v>51</v>
      </c>
      <c r="CN6" s="273">
        <v>51</v>
      </c>
      <c r="CO6" s="273">
        <v>51</v>
      </c>
      <c r="CP6" s="273">
        <v>51</v>
      </c>
      <c r="CQ6" s="273">
        <v>51</v>
      </c>
      <c r="CR6" s="273">
        <v>51</v>
      </c>
      <c r="CS6" s="60">
        <v>84</v>
      </c>
      <c r="CT6" s="60">
        <v>84</v>
      </c>
      <c r="CU6" s="274">
        <v>58</v>
      </c>
      <c r="CV6" s="274">
        <v>58</v>
      </c>
      <c r="CW6" s="60">
        <v>84</v>
      </c>
      <c r="CX6" s="43">
        <v>0</v>
      </c>
      <c r="CY6" s="43">
        <v>0</v>
      </c>
      <c r="CZ6" s="275">
        <v>62</v>
      </c>
      <c r="DA6" s="43">
        <v>0</v>
      </c>
      <c r="DB6" s="43">
        <v>0</v>
      </c>
      <c r="DC6" s="270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64">
        <v>40</v>
      </c>
      <c r="DM6" s="64">
        <v>40</v>
      </c>
      <c r="DN6" s="43">
        <v>0</v>
      </c>
      <c r="DO6" s="43">
        <v>0</v>
      </c>
      <c r="DP6" s="275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61">
        <v>79</v>
      </c>
      <c r="ED6" s="161">
        <v>79</v>
      </c>
      <c r="EE6" s="64">
        <v>40</v>
      </c>
      <c r="EF6" s="64">
        <v>40</v>
      </c>
      <c r="EG6" s="161">
        <v>79</v>
      </c>
      <c r="EH6" s="161">
        <v>79</v>
      </c>
      <c r="EI6" s="43">
        <v>0</v>
      </c>
      <c r="EJ6" s="161">
        <v>79</v>
      </c>
      <c r="EK6" s="161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43">
        <v>0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50">
        <v>13</v>
      </c>
      <c r="FG6" s="150">
        <v>13</v>
      </c>
      <c r="FH6" s="150">
        <v>13</v>
      </c>
      <c r="FI6" s="53">
        <v>124</v>
      </c>
      <c r="FJ6" s="150">
        <v>13</v>
      </c>
      <c r="FK6" s="150">
        <v>13</v>
      </c>
      <c r="FL6" s="150">
        <v>13</v>
      </c>
      <c r="FM6" s="150">
        <v>13</v>
      </c>
      <c r="FN6" s="150">
        <v>13</v>
      </c>
      <c r="FO6" s="150">
        <v>13</v>
      </c>
      <c r="FP6" s="150">
        <v>13</v>
      </c>
      <c r="FQ6" s="150">
        <v>13</v>
      </c>
      <c r="FR6" s="53">
        <v>124</v>
      </c>
      <c r="FS6" s="150">
        <v>13</v>
      </c>
      <c r="FT6" s="150">
        <v>13</v>
      </c>
      <c r="FU6" s="150">
        <v>13</v>
      </c>
      <c r="FV6" s="150">
        <v>13</v>
      </c>
      <c r="FW6" s="150">
        <v>13</v>
      </c>
      <c r="FX6" s="150">
        <v>13</v>
      </c>
      <c r="FY6" s="150">
        <v>13</v>
      </c>
      <c r="FZ6" s="150">
        <v>13</v>
      </c>
      <c r="GA6" s="60">
        <v>84</v>
      </c>
      <c r="GB6" s="150">
        <v>13</v>
      </c>
      <c r="GC6" s="150">
        <v>13</v>
      </c>
      <c r="GD6" s="150">
        <v>13</v>
      </c>
      <c r="GE6" s="150">
        <v>13</v>
      </c>
      <c r="GF6" s="60">
        <v>84</v>
      </c>
      <c r="GG6" s="150">
        <v>13</v>
      </c>
      <c r="GH6" s="150">
        <v>13</v>
      </c>
      <c r="GI6" s="150">
        <v>13</v>
      </c>
      <c r="GJ6" s="150">
        <v>13</v>
      </c>
      <c r="GK6" s="150">
        <v>13</v>
      </c>
      <c r="GL6" s="270">
        <v>117</v>
      </c>
      <c r="GM6" s="150">
        <v>13</v>
      </c>
      <c r="GN6" s="150">
        <v>13</v>
      </c>
      <c r="GO6" s="22">
        <v>68</v>
      </c>
      <c r="GP6" s="150">
        <v>13</v>
      </c>
      <c r="GQ6" s="150">
        <v>13</v>
      </c>
      <c r="GR6" s="150">
        <v>13</v>
      </c>
      <c r="GS6" s="150">
        <v>13</v>
      </c>
      <c r="GT6" s="150">
        <v>13</v>
      </c>
      <c r="GU6" s="150">
        <v>13</v>
      </c>
      <c r="GV6" s="150">
        <v>13</v>
      </c>
      <c r="GW6" s="150">
        <v>13</v>
      </c>
      <c r="GX6" s="22">
        <v>68</v>
      </c>
      <c r="GY6" s="150">
        <v>13</v>
      </c>
      <c r="GZ6" s="150">
        <v>13</v>
      </c>
      <c r="HA6" s="270">
        <v>117</v>
      </c>
      <c r="HB6" s="150">
        <v>13</v>
      </c>
      <c r="HC6" s="150">
        <v>13</v>
      </c>
      <c r="HD6" s="150">
        <v>13</v>
      </c>
      <c r="HE6" s="64">
        <v>40</v>
      </c>
      <c r="HF6" s="150">
        <v>13</v>
      </c>
      <c r="HG6" s="64">
        <v>40</v>
      </c>
      <c r="HH6" s="280">
        <v>69</v>
      </c>
      <c r="HI6" s="280">
        <v>69</v>
      </c>
      <c r="HJ6" s="280">
        <v>69</v>
      </c>
      <c r="HK6" s="280">
        <v>69</v>
      </c>
      <c r="HL6" s="64">
        <v>40</v>
      </c>
      <c r="HM6" s="150">
        <v>13</v>
      </c>
      <c r="HN6" s="64">
        <v>40</v>
      </c>
      <c r="HO6" s="150">
        <v>13</v>
      </c>
      <c r="HP6" s="150">
        <v>13</v>
      </c>
      <c r="HQ6" s="150">
        <v>13</v>
      </c>
      <c r="HR6" s="150">
        <v>13</v>
      </c>
      <c r="HS6" s="150">
        <v>13</v>
      </c>
      <c r="HT6" s="150">
        <v>13</v>
      </c>
      <c r="HU6" s="53">
        <v>124</v>
      </c>
      <c r="HV6" s="150">
        <v>13</v>
      </c>
      <c r="HW6" s="150">
        <v>13</v>
      </c>
      <c r="HX6" s="150">
        <v>13</v>
      </c>
      <c r="HY6" s="64">
        <v>40</v>
      </c>
      <c r="HZ6" s="64">
        <v>40</v>
      </c>
      <c r="IA6" s="150">
        <v>13</v>
      </c>
      <c r="IB6" s="150">
        <v>13</v>
      </c>
      <c r="IC6" s="150">
        <v>13</v>
      </c>
      <c r="ID6" s="22">
        <v>68</v>
      </c>
      <c r="IE6" s="150">
        <v>13</v>
      </c>
      <c r="IF6" s="150">
        <v>13</v>
      </c>
      <c r="IG6" s="150">
        <v>13</v>
      </c>
      <c r="IH6" s="150">
        <v>13</v>
      </c>
      <c r="II6" s="150">
        <v>13</v>
      </c>
      <c r="IJ6" s="150">
        <v>13</v>
      </c>
      <c r="IK6" s="196">
        <v>122</v>
      </c>
      <c r="IL6" s="150">
        <v>13</v>
      </c>
      <c r="IM6" s="150">
        <v>13</v>
      </c>
      <c r="IN6" s="150">
        <v>13</v>
      </c>
      <c r="IO6" s="139">
        <v>35</v>
      </c>
      <c r="IP6" s="287">
        <v>87</v>
      </c>
      <c r="IQ6" s="150">
        <v>13</v>
      </c>
      <c r="IR6" s="150">
        <v>13</v>
      </c>
      <c r="IS6" s="150">
        <v>13</v>
      </c>
      <c r="IT6" s="150">
        <v>13</v>
      </c>
      <c r="IU6" s="150">
        <v>13</v>
      </c>
      <c r="IV6" s="150">
        <v>13</v>
      </c>
      <c r="IW6" s="150">
        <v>13</v>
      </c>
    </row>
    <row r="7" spans="1:257" s="42" customFormat="1" ht="20" hidden="1" customHeight="1" x14ac:dyDescent="0.2">
      <c r="A7" s="43">
        <v>5</v>
      </c>
      <c r="B7" s="43">
        <v>0</v>
      </c>
      <c r="C7" s="61">
        <v>90</v>
      </c>
      <c r="D7" s="43">
        <v>0</v>
      </c>
      <c r="E7" s="43">
        <v>0</v>
      </c>
      <c r="F7" s="241">
        <v>119</v>
      </c>
      <c r="G7" s="150">
        <v>16</v>
      </c>
      <c r="H7" s="43">
        <v>0</v>
      </c>
      <c r="I7" s="43">
        <v>0</v>
      </c>
      <c r="J7" s="43">
        <v>0</v>
      </c>
      <c r="K7" s="43">
        <v>0</v>
      </c>
      <c r="L7" s="150">
        <v>16</v>
      </c>
      <c r="M7" s="241">
        <v>119</v>
      </c>
      <c r="N7" s="43">
        <v>0</v>
      </c>
      <c r="O7" s="43">
        <v>0</v>
      </c>
      <c r="P7" s="61">
        <v>90</v>
      </c>
      <c r="Q7" s="43">
        <v>0</v>
      </c>
      <c r="R7" s="60">
        <v>84</v>
      </c>
      <c r="S7" s="60">
        <v>84</v>
      </c>
      <c r="T7" s="272">
        <v>68</v>
      </c>
      <c r="U7" s="60">
        <v>84</v>
      </c>
      <c r="V7" s="60">
        <v>84</v>
      </c>
      <c r="W7" s="60">
        <v>84</v>
      </c>
      <c r="X7" s="60">
        <v>84</v>
      </c>
      <c r="Y7" s="60">
        <v>84</v>
      </c>
      <c r="Z7" s="60">
        <v>84</v>
      </c>
      <c r="AA7" s="60">
        <v>84</v>
      </c>
      <c r="AB7" s="60">
        <v>84</v>
      </c>
      <c r="AC7" s="60">
        <v>84</v>
      </c>
      <c r="AD7" s="60">
        <v>84</v>
      </c>
      <c r="AE7" s="60">
        <v>84</v>
      </c>
      <c r="AF7" s="60">
        <v>84</v>
      </c>
      <c r="AG7" s="60">
        <v>84</v>
      </c>
      <c r="AH7" s="60">
        <v>84</v>
      </c>
      <c r="AI7" s="43">
        <v>0</v>
      </c>
      <c r="AJ7" s="272">
        <v>68</v>
      </c>
      <c r="AK7" s="43">
        <v>0</v>
      </c>
      <c r="AL7" s="43">
        <v>0</v>
      </c>
      <c r="AM7" s="272">
        <v>68</v>
      </c>
      <c r="AN7" s="43">
        <v>0</v>
      </c>
      <c r="AO7" s="43">
        <v>0</v>
      </c>
      <c r="AP7" s="43">
        <v>0</v>
      </c>
      <c r="AQ7" s="272">
        <v>68</v>
      </c>
      <c r="AR7" s="43">
        <v>0</v>
      </c>
      <c r="AS7" s="43">
        <v>0</v>
      </c>
      <c r="AT7" s="64">
        <v>40</v>
      </c>
      <c r="AU7" s="64">
        <v>40</v>
      </c>
      <c r="AV7" s="55">
        <v>77</v>
      </c>
      <c r="AW7" s="60">
        <v>84</v>
      </c>
      <c r="AX7" s="60">
        <v>84</v>
      </c>
      <c r="AY7" s="43">
        <v>0</v>
      </c>
      <c r="AZ7" s="64">
        <v>40</v>
      </c>
      <c r="BA7" s="58">
        <v>35</v>
      </c>
      <c r="BB7" s="43">
        <v>0</v>
      </c>
      <c r="BC7" s="43">
        <v>0</v>
      </c>
      <c r="BD7" s="60">
        <v>84</v>
      </c>
      <c r="BE7" s="60">
        <v>84</v>
      </c>
      <c r="BF7" s="60">
        <v>84</v>
      </c>
      <c r="BG7" s="272">
        <v>68</v>
      </c>
      <c r="BH7" s="60">
        <v>84</v>
      </c>
      <c r="BI7" s="60">
        <v>84</v>
      </c>
      <c r="BJ7" s="60">
        <v>84</v>
      </c>
      <c r="BK7" s="60">
        <v>84</v>
      </c>
      <c r="BL7" s="60">
        <v>84</v>
      </c>
      <c r="BM7" s="60">
        <v>84</v>
      </c>
      <c r="BN7" s="60">
        <v>84</v>
      </c>
      <c r="BO7" s="43">
        <v>0</v>
      </c>
      <c r="BP7" s="43">
        <v>0</v>
      </c>
      <c r="BQ7" s="30">
        <v>99</v>
      </c>
      <c r="BR7" s="64">
        <v>40</v>
      </c>
      <c r="BS7" s="64">
        <v>40</v>
      </c>
      <c r="BT7" s="64">
        <v>40</v>
      </c>
      <c r="BU7" s="30">
        <v>98</v>
      </c>
      <c r="BV7" s="43">
        <v>0</v>
      </c>
      <c r="BW7" s="43">
        <v>0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72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9">
        <v>25</v>
      </c>
      <c r="DF7" s="43">
        <v>0</v>
      </c>
      <c r="DG7" s="196">
        <v>122</v>
      </c>
      <c r="DH7" s="43">
        <v>0</v>
      </c>
      <c r="DI7" s="60">
        <v>84</v>
      </c>
      <c r="DJ7" s="60">
        <v>84</v>
      </c>
      <c r="DK7" s="25">
        <v>71</v>
      </c>
      <c r="DL7" s="274">
        <v>58</v>
      </c>
      <c r="DM7" s="274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74">
        <v>58</v>
      </c>
      <c r="DW7" s="274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61">
        <v>79</v>
      </c>
      <c r="EE7" s="161">
        <v>79</v>
      </c>
      <c r="EF7" s="161">
        <v>79</v>
      </c>
      <c r="EG7" s="161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79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50">
        <v>13</v>
      </c>
      <c r="FG7" s="150">
        <v>13</v>
      </c>
      <c r="FH7" s="150">
        <v>13</v>
      </c>
      <c r="FI7" s="61">
        <v>90</v>
      </c>
      <c r="FJ7" s="150">
        <v>13</v>
      </c>
      <c r="FK7" s="150">
        <v>13</v>
      </c>
      <c r="FL7" s="150">
        <v>13</v>
      </c>
      <c r="FM7" s="150">
        <v>13</v>
      </c>
      <c r="FN7" s="150">
        <v>13</v>
      </c>
      <c r="FO7" s="150">
        <v>13</v>
      </c>
      <c r="FP7" s="150">
        <v>13</v>
      </c>
      <c r="FQ7" s="150">
        <v>13</v>
      </c>
      <c r="FR7" s="61">
        <v>90</v>
      </c>
      <c r="FS7" s="150">
        <v>13</v>
      </c>
      <c r="FT7" s="150">
        <v>13</v>
      </c>
      <c r="FU7" s="150">
        <v>13</v>
      </c>
      <c r="FV7" s="150">
        <v>13</v>
      </c>
      <c r="FW7" s="150">
        <v>13</v>
      </c>
      <c r="FX7" s="150">
        <v>13</v>
      </c>
      <c r="FY7" s="283">
        <v>113</v>
      </c>
      <c r="FZ7" s="150">
        <v>13</v>
      </c>
      <c r="GA7" s="150">
        <v>13</v>
      </c>
      <c r="GB7" s="150">
        <v>13</v>
      </c>
      <c r="GC7" s="150">
        <v>13</v>
      </c>
      <c r="GD7" s="150">
        <v>13</v>
      </c>
      <c r="GE7" s="150">
        <v>13</v>
      </c>
      <c r="GF7" s="150">
        <v>13</v>
      </c>
      <c r="GG7" s="150">
        <v>13</v>
      </c>
      <c r="GH7" s="283">
        <v>113</v>
      </c>
      <c r="GI7" s="150">
        <v>13</v>
      </c>
      <c r="GJ7" s="150">
        <v>13</v>
      </c>
      <c r="GK7" s="150">
        <v>13</v>
      </c>
      <c r="GL7" s="150">
        <v>13</v>
      </c>
      <c r="GM7" s="150">
        <v>13</v>
      </c>
      <c r="GN7" s="150">
        <v>13</v>
      </c>
      <c r="GO7" s="22">
        <v>68</v>
      </c>
      <c r="GP7" s="150">
        <v>13</v>
      </c>
      <c r="GQ7" s="150">
        <v>13</v>
      </c>
      <c r="GR7" s="150">
        <v>13</v>
      </c>
      <c r="GS7" s="150">
        <v>13</v>
      </c>
      <c r="GT7" s="150">
        <v>13</v>
      </c>
      <c r="GU7" s="150">
        <v>13</v>
      </c>
      <c r="GV7" s="150">
        <v>13</v>
      </c>
      <c r="GW7" s="150">
        <v>13</v>
      </c>
      <c r="GX7" s="22">
        <v>68</v>
      </c>
      <c r="GY7" s="150">
        <v>13</v>
      </c>
      <c r="GZ7" s="150">
        <v>13</v>
      </c>
      <c r="HA7" s="150">
        <v>13</v>
      </c>
      <c r="HB7" s="150">
        <v>13</v>
      </c>
      <c r="HC7" s="282">
        <v>106</v>
      </c>
      <c r="HD7" s="150">
        <v>13</v>
      </c>
      <c r="HE7" s="161">
        <v>78</v>
      </c>
      <c r="HF7" s="150">
        <v>13</v>
      </c>
      <c r="HG7" s="161">
        <v>78</v>
      </c>
      <c r="HH7" s="150">
        <v>13</v>
      </c>
      <c r="HI7" s="280">
        <v>69</v>
      </c>
      <c r="HJ7" s="280">
        <v>69</v>
      </c>
      <c r="HK7" s="150">
        <v>13</v>
      </c>
      <c r="HL7" s="161">
        <v>78</v>
      </c>
      <c r="HM7" s="150">
        <v>13</v>
      </c>
      <c r="HN7" s="161">
        <v>78</v>
      </c>
      <c r="HO7" s="150">
        <v>13</v>
      </c>
      <c r="HP7" s="270">
        <v>117</v>
      </c>
      <c r="HQ7" s="150">
        <v>13</v>
      </c>
      <c r="HR7" s="150">
        <v>13</v>
      </c>
      <c r="HS7" s="150">
        <v>13</v>
      </c>
      <c r="HT7" s="150">
        <v>13</v>
      </c>
      <c r="HU7" s="61">
        <v>90</v>
      </c>
      <c r="HV7" s="150">
        <v>13</v>
      </c>
      <c r="HW7" s="150">
        <v>13</v>
      </c>
      <c r="HX7" s="150">
        <v>13</v>
      </c>
      <c r="HY7" s="151">
        <v>85</v>
      </c>
      <c r="HZ7" s="151">
        <v>85</v>
      </c>
      <c r="IA7" s="150">
        <v>13</v>
      </c>
      <c r="IB7" s="150">
        <v>13</v>
      </c>
      <c r="IC7" s="150">
        <v>13</v>
      </c>
      <c r="ID7" s="22">
        <v>68</v>
      </c>
      <c r="IE7" s="150">
        <v>13</v>
      </c>
      <c r="IF7" s="150">
        <v>13</v>
      </c>
      <c r="IG7" s="150">
        <v>13</v>
      </c>
      <c r="IH7" s="150">
        <v>13</v>
      </c>
      <c r="II7" s="150">
        <v>13</v>
      </c>
      <c r="IJ7" s="150">
        <v>13</v>
      </c>
      <c r="IK7" s="200">
        <v>90</v>
      </c>
      <c r="IL7" s="150">
        <v>13</v>
      </c>
      <c r="IM7" s="150">
        <v>13</v>
      </c>
      <c r="IN7" s="169">
        <v>40</v>
      </c>
      <c r="IO7" s="150">
        <v>13</v>
      </c>
      <c r="IP7" s="150">
        <v>13</v>
      </c>
      <c r="IQ7" s="150">
        <v>13</v>
      </c>
      <c r="IR7" s="150">
        <v>13</v>
      </c>
      <c r="IS7" s="150">
        <v>13</v>
      </c>
      <c r="IT7" s="150">
        <v>13</v>
      </c>
      <c r="IU7" s="150">
        <v>13</v>
      </c>
      <c r="IV7" s="150">
        <v>13</v>
      </c>
      <c r="IW7" s="150">
        <v>13</v>
      </c>
    </row>
    <row r="8" spans="1:257" s="42" customFormat="1" ht="20" hidden="1" customHeight="1" x14ac:dyDescent="0.2">
      <c r="A8" s="43">
        <v>6</v>
      </c>
      <c r="B8" s="43">
        <v>0</v>
      </c>
      <c r="C8" s="43">
        <v>0</v>
      </c>
      <c r="D8" s="43">
        <v>0</v>
      </c>
      <c r="E8" s="43">
        <v>0</v>
      </c>
      <c r="F8" s="274">
        <v>58</v>
      </c>
      <c r="G8" s="150">
        <v>16</v>
      </c>
      <c r="H8" s="43">
        <v>0</v>
      </c>
      <c r="I8" s="43">
        <v>0</v>
      </c>
      <c r="J8" s="43">
        <v>0</v>
      </c>
      <c r="K8" s="43">
        <v>0</v>
      </c>
      <c r="L8" s="150">
        <v>16</v>
      </c>
      <c r="M8" s="274">
        <v>58</v>
      </c>
      <c r="N8" s="43">
        <v>0</v>
      </c>
      <c r="O8" s="43">
        <v>0</v>
      </c>
      <c r="P8" s="43">
        <v>0</v>
      </c>
      <c r="Q8" s="43">
        <v>0</v>
      </c>
      <c r="R8" s="60">
        <v>84</v>
      </c>
      <c r="S8" s="57">
        <v>52</v>
      </c>
      <c r="T8" s="272">
        <v>68</v>
      </c>
      <c r="U8" s="57">
        <v>52</v>
      </c>
      <c r="V8" s="57">
        <v>52</v>
      </c>
      <c r="W8" s="272">
        <v>68</v>
      </c>
      <c r="X8" s="57">
        <v>52</v>
      </c>
      <c r="Y8" s="57">
        <v>52</v>
      </c>
      <c r="Z8" s="57">
        <v>52</v>
      </c>
      <c r="AA8" s="272">
        <v>68</v>
      </c>
      <c r="AB8" s="57">
        <v>52</v>
      </c>
      <c r="AC8" s="57">
        <v>52</v>
      </c>
      <c r="AD8" s="57">
        <v>52</v>
      </c>
      <c r="AE8" s="57">
        <v>52</v>
      </c>
      <c r="AF8" s="57">
        <v>52</v>
      </c>
      <c r="AG8" s="60">
        <v>84</v>
      </c>
      <c r="AH8" s="60">
        <v>84</v>
      </c>
      <c r="AI8" s="43">
        <v>0</v>
      </c>
      <c r="AJ8" s="43">
        <v>0</v>
      </c>
      <c r="AK8" s="43">
        <v>0</v>
      </c>
      <c r="AL8" s="43">
        <v>0</v>
      </c>
      <c r="AM8" s="272">
        <v>68</v>
      </c>
      <c r="AN8" s="43">
        <v>0</v>
      </c>
      <c r="AO8" s="179">
        <v>25</v>
      </c>
      <c r="AP8" s="43">
        <v>0</v>
      </c>
      <c r="AQ8" s="272">
        <v>68</v>
      </c>
      <c r="AR8" s="43">
        <v>0</v>
      </c>
      <c r="AS8" s="64">
        <v>40</v>
      </c>
      <c r="AT8" s="55">
        <v>77</v>
      </c>
      <c r="AU8" s="55">
        <v>77</v>
      </c>
      <c r="AV8" s="55">
        <v>77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43">
        <v>0</v>
      </c>
      <c r="BC8" s="43">
        <v>0</v>
      </c>
      <c r="BD8" s="272">
        <v>68</v>
      </c>
      <c r="BE8" s="11">
        <v>113</v>
      </c>
      <c r="BF8" s="43">
        <v>0</v>
      </c>
      <c r="BG8" s="272">
        <v>68</v>
      </c>
      <c r="BH8" s="43">
        <v>0</v>
      </c>
      <c r="BI8" s="43">
        <v>0</v>
      </c>
      <c r="BJ8" s="58">
        <v>35</v>
      </c>
      <c r="BK8" s="43">
        <v>0</v>
      </c>
      <c r="BL8" s="99">
        <v>27</v>
      </c>
      <c r="BM8" s="60">
        <v>84</v>
      </c>
      <c r="BN8" s="60">
        <v>84</v>
      </c>
      <c r="BO8" s="43">
        <v>0</v>
      </c>
      <c r="BP8" s="43">
        <v>0</v>
      </c>
      <c r="BQ8" s="274">
        <v>58</v>
      </c>
      <c r="BR8" s="272">
        <v>68</v>
      </c>
      <c r="BS8" s="274">
        <v>58</v>
      </c>
      <c r="BT8" s="274">
        <v>58</v>
      </c>
      <c r="BU8" s="274">
        <v>58</v>
      </c>
      <c r="BV8" s="43">
        <v>0</v>
      </c>
      <c r="BW8" s="195">
        <v>26</v>
      </c>
      <c r="BX8" s="43">
        <v>0</v>
      </c>
      <c r="BY8" s="43">
        <v>0</v>
      </c>
      <c r="BZ8" s="43">
        <v>0</v>
      </c>
      <c r="CA8" s="195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72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3">
        <v>0</v>
      </c>
      <c r="CR8" s="99">
        <v>27</v>
      </c>
      <c r="CS8" s="60">
        <v>84</v>
      </c>
      <c r="CT8" s="60">
        <v>84</v>
      </c>
      <c r="CU8" s="274">
        <v>58</v>
      </c>
      <c r="CV8" s="274">
        <v>58</v>
      </c>
      <c r="CW8" s="274">
        <v>58</v>
      </c>
      <c r="CX8" s="274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200">
        <v>90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61">
        <v>79</v>
      </c>
      <c r="EF8" s="161">
        <v>79</v>
      </c>
      <c r="EG8" s="161">
        <v>79</v>
      </c>
      <c r="EH8" s="161">
        <v>79</v>
      </c>
      <c r="EI8" s="161">
        <v>79</v>
      </c>
      <c r="EJ8" s="161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80">
        <v>69</v>
      </c>
      <c r="EX8" s="280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50">
        <v>13</v>
      </c>
      <c r="FG8" s="2">
        <v>109</v>
      </c>
      <c r="FH8" s="150">
        <v>13</v>
      </c>
      <c r="FI8" s="150">
        <v>13</v>
      </c>
      <c r="FJ8" s="150">
        <v>13</v>
      </c>
      <c r="FK8" s="64">
        <v>40</v>
      </c>
      <c r="FL8" s="150">
        <v>13</v>
      </c>
      <c r="FM8" s="150">
        <v>13</v>
      </c>
      <c r="FN8" s="150">
        <v>13</v>
      </c>
      <c r="FO8" s="150">
        <v>13</v>
      </c>
      <c r="FP8" s="64">
        <v>40</v>
      </c>
      <c r="FQ8" s="150">
        <v>13</v>
      </c>
      <c r="FR8" s="150">
        <v>13</v>
      </c>
      <c r="FS8" s="150">
        <v>13</v>
      </c>
      <c r="FT8" s="7">
        <v>116</v>
      </c>
      <c r="FU8" s="150">
        <v>13</v>
      </c>
      <c r="FV8" s="150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50">
        <v>13</v>
      </c>
      <c r="GL8" s="150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50">
        <v>13</v>
      </c>
      <c r="HB8" s="150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50">
        <v>13</v>
      </c>
      <c r="HI8" s="280">
        <v>69</v>
      </c>
      <c r="HJ8" s="280">
        <v>69</v>
      </c>
      <c r="HK8" s="150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50">
        <v>13</v>
      </c>
      <c r="HR8" s="150">
        <v>13</v>
      </c>
      <c r="HS8" s="64">
        <v>40</v>
      </c>
      <c r="HT8" s="276">
        <v>105</v>
      </c>
      <c r="HU8" s="150">
        <v>13</v>
      </c>
      <c r="HV8" s="64">
        <v>40</v>
      </c>
      <c r="HW8" s="150">
        <v>13</v>
      </c>
      <c r="HX8" s="150">
        <v>13</v>
      </c>
      <c r="HY8" s="150">
        <v>13</v>
      </c>
      <c r="HZ8" s="150">
        <v>13</v>
      </c>
      <c r="IA8" s="150">
        <v>13</v>
      </c>
      <c r="IB8" s="64">
        <v>40</v>
      </c>
      <c r="IC8" s="150">
        <v>13</v>
      </c>
      <c r="ID8" s="22">
        <v>68</v>
      </c>
      <c r="IE8" s="150">
        <v>13</v>
      </c>
      <c r="IF8" s="150">
        <v>13</v>
      </c>
      <c r="IG8" s="150">
        <v>13</v>
      </c>
      <c r="IH8" s="150">
        <v>13</v>
      </c>
      <c r="II8" s="150">
        <v>13</v>
      </c>
      <c r="IJ8" s="150">
        <v>13</v>
      </c>
      <c r="IK8" s="150">
        <v>13</v>
      </c>
      <c r="IL8" s="150">
        <v>13</v>
      </c>
      <c r="IM8" s="150">
        <v>13</v>
      </c>
      <c r="IN8" s="287">
        <v>87</v>
      </c>
      <c r="IO8" s="150">
        <v>13</v>
      </c>
      <c r="IP8" s="150">
        <v>13</v>
      </c>
      <c r="IQ8" s="150">
        <v>13</v>
      </c>
      <c r="IR8" s="150">
        <v>13</v>
      </c>
      <c r="IS8" s="150">
        <v>13</v>
      </c>
      <c r="IT8" s="150">
        <v>13</v>
      </c>
      <c r="IU8" s="150">
        <v>13</v>
      </c>
      <c r="IV8" s="150">
        <v>13</v>
      </c>
      <c r="IW8" s="150">
        <v>13</v>
      </c>
    </row>
    <row r="9" spans="1:257" s="42" customFormat="1" ht="20" hidden="1" customHeight="1" x14ac:dyDescent="0.2">
      <c r="A9" s="43">
        <v>7</v>
      </c>
      <c r="B9" s="150">
        <v>16</v>
      </c>
      <c r="C9" s="150">
        <v>16</v>
      </c>
      <c r="D9" s="43">
        <v>0</v>
      </c>
      <c r="E9" s="150">
        <v>16</v>
      </c>
      <c r="F9" s="150">
        <v>16</v>
      </c>
      <c r="G9" s="150">
        <v>16</v>
      </c>
      <c r="H9" s="150">
        <v>16</v>
      </c>
      <c r="I9" s="150">
        <v>16</v>
      </c>
      <c r="J9" s="150">
        <v>16</v>
      </c>
      <c r="K9" s="150">
        <v>16</v>
      </c>
      <c r="L9" s="150">
        <v>16</v>
      </c>
      <c r="M9" s="150">
        <v>16</v>
      </c>
      <c r="N9" s="150">
        <v>16</v>
      </c>
      <c r="O9" s="43">
        <v>0</v>
      </c>
      <c r="P9" s="150">
        <v>16</v>
      </c>
      <c r="Q9" s="150">
        <v>16</v>
      </c>
      <c r="R9" s="60">
        <v>84</v>
      </c>
      <c r="S9" s="43">
        <v>0</v>
      </c>
      <c r="T9" s="272">
        <v>68</v>
      </c>
      <c r="U9" s="43">
        <v>0</v>
      </c>
      <c r="V9" s="43">
        <v>0</v>
      </c>
      <c r="W9" s="272">
        <v>68</v>
      </c>
      <c r="X9" s="43">
        <v>0</v>
      </c>
      <c r="Y9" s="43">
        <v>0</v>
      </c>
      <c r="Z9" s="43">
        <v>0</v>
      </c>
      <c r="AA9" s="272">
        <v>68</v>
      </c>
      <c r="AB9" s="43">
        <v>0</v>
      </c>
      <c r="AC9" s="43">
        <v>0</v>
      </c>
      <c r="AD9" s="43">
        <v>0</v>
      </c>
      <c r="AE9" s="43">
        <v>0</v>
      </c>
      <c r="AF9" s="43">
        <v>0</v>
      </c>
      <c r="AG9" s="60">
        <v>84</v>
      </c>
      <c r="AH9" s="60">
        <v>84</v>
      </c>
      <c r="AI9" s="43">
        <v>0</v>
      </c>
      <c r="AJ9" s="64">
        <v>40</v>
      </c>
      <c r="AK9" s="43">
        <v>0</v>
      </c>
      <c r="AL9" s="179">
        <v>25</v>
      </c>
      <c r="AM9" s="272">
        <v>68</v>
      </c>
      <c r="AN9" s="43">
        <v>0</v>
      </c>
      <c r="AO9" s="43">
        <v>0</v>
      </c>
      <c r="AP9" s="43">
        <v>0</v>
      </c>
      <c r="AQ9" s="272">
        <v>68</v>
      </c>
      <c r="AR9" s="64">
        <v>40</v>
      </c>
      <c r="AS9" s="55">
        <v>77</v>
      </c>
      <c r="AT9" s="55">
        <v>77</v>
      </c>
      <c r="AU9" s="55">
        <v>77</v>
      </c>
      <c r="AV9" s="55">
        <v>77</v>
      </c>
      <c r="AW9" s="60">
        <v>84</v>
      </c>
      <c r="AX9" s="60">
        <v>84</v>
      </c>
      <c r="AY9" s="43">
        <v>0</v>
      </c>
      <c r="AZ9" s="64">
        <v>40</v>
      </c>
      <c r="BA9" s="195">
        <v>26</v>
      </c>
      <c r="BB9" s="43">
        <v>0</v>
      </c>
      <c r="BC9" s="43">
        <v>0</v>
      </c>
      <c r="BD9" s="272">
        <v>68</v>
      </c>
      <c r="BE9" s="43">
        <v>0</v>
      </c>
      <c r="BF9" s="43">
        <v>0</v>
      </c>
      <c r="BG9" s="272">
        <v>68</v>
      </c>
      <c r="BH9" s="43">
        <v>0</v>
      </c>
      <c r="BI9" s="43">
        <v>0</v>
      </c>
      <c r="BJ9" s="195">
        <v>26</v>
      </c>
      <c r="BK9" s="43">
        <v>0</v>
      </c>
      <c r="BL9" s="43">
        <v>0</v>
      </c>
      <c r="BM9" s="60">
        <v>84</v>
      </c>
      <c r="BN9" s="60">
        <v>84</v>
      </c>
      <c r="BO9" s="43">
        <v>0</v>
      </c>
      <c r="BP9" s="43">
        <v>0</v>
      </c>
      <c r="BQ9" s="43">
        <v>0</v>
      </c>
      <c r="BR9" s="272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74">
        <v>58</v>
      </c>
      <c r="CG9" s="274">
        <v>58</v>
      </c>
      <c r="CH9" s="272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43">
        <v>0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75">
        <v>62</v>
      </c>
      <c r="DA9" s="43">
        <v>0</v>
      </c>
      <c r="DB9" s="43">
        <v>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77">
        <v>55</v>
      </c>
      <c r="DM9" s="277">
        <v>55</v>
      </c>
      <c r="DN9" s="277">
        <v>55</v>
      </c>
      <c r="DO9" s="277">
        <v>55</v>
      </c>
      <c r="DP9" s="277">
        <v>55</v>
      </c>
      <c r="DQ9" s="277">
        <v>55</v>
      </c>
      <c r="DR9" s="277">
        <v>55</v>
      </c>
      <c r="DS9" s="277">
        <v>55</v>
      </c>
      <c r="DT9" s="277">
        <v>55</v>
      </c>
      <c r="DU9" s="277">
        <v>55</v>
      </c>
      <c r="DV9" s="277">
        <v>55</v>
      </c>
      <c r="DW9" s="277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9">
        <v>25</v>
      </c>
      <c r="ED9" s="43">
        <v>0</v>
      </c>
      <c r="EE9" s="43">
        <v>0</v>
      </c>
      <c r="EF9" s="161">
        <v>79</v>
      </c>
      <c r="EG9" s="161">
        <v>79</v>
      </c>
      <c r="EH9" s="161">
        <v>79</v>
      </c>
      <c r="EI9" s="43">
        <v>0</v>
      </c>
      <c r="EJ9" s="43">
        <v>0</v>
      </c>
      <c r="EK9" s="43">
        <v>0</v>
      </c>
      <c r="EL9" s="179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80">
        <v>69</v>
      </c>
      <c r="EX9" s="280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50">
        <v>13</v>
      </c>
      <c r="FG9" s="150">
        <v>13</v>
      </c>
      <c r="FH9" s="150">
        <v>13</v>
      </c>
      <c r="FI9" s="150">
        <v>13</v>
      </c>
      <c r="FJ9" s="150">
        <v>13</v>
      </c>
      <c r="FK9" s="161">
        <v>78</v>
      </c>
      <c r="FL9" s="150">
        <v>13</v>
      </c>
      <c r="FM9" s="150">
        <v>13</v>
      </c>
      <c r="FN9" s="150">
        <v>13</v>
      </c>
      <c r="FO9" s="150">
        <v>13</v>
      </c>
      <c r="FP9" s="161">
        <v>78</v>
      </c>
      <c r="FQ9" s="150">
        <v>13</v>
      </c>
      <c r="FR9" s="150">
        <v>13</v>
      </c>
      <c r="FS9" s="150">
        <v>13</v>
      </c>
      <c r="FT9" s="150">
        <v>13</v>
      </c>
      <c r="FU9" s="150">
        <v>13</v>
      </c>
      <c r="FV9" s="150">
        <v>13</v>
      </c>
      <c r="FW9" s="150">
        <v>13</v>
      </c>
      <c r="FX9" s="150">
        <v>13</v>
      </c>
      <c r="FY9" s="22">
        <v>68</v>
      </c>
      <c r="FZ9" s="150">
        <v>13</v>
      </c>
      <c r="GA9" s="150">
        <v>13</v>
      </c>
      <c r="GB9" s="150">
        <v>13</v>
      </c>
      <c r="GC9" s="150">
        <v>13</v>
      </c>
      <c r="GD9" s="150">
        <v>13</v>
      </c>
      <c r="GE9" s="150">
        <v>13</v>
      </c>
      <c r="GF9" s="150">
        <v>13</v>
      </c>
      <c r="GG9" s="150">
        <v>13</v>
      </c>
      <c r="GH9" s="22">
        <v>68</v>
      </c>
      <c r="GI9" s="150">
        <v>13</v>
      </c>
      <c r="GJ9" s="150">
        <v>13</v>
      </c>
      <c r="GK9" s="150">
        <v>13</v>
      </c>
      <c r="GL9" s="150">
        <v>13</v>
      </c>
      <c r="GM9" s="161">
        <v>78</v>
      </c>
      <c r="GN9" s="287">
        <v>87</v>
      </c>
      <c r="GO9" s="22">
        <v>68</v>
      </c>
      <c r="GP9" s="287">
        <v>87</v>
      </c>
      <c r="GQ9" s="161">
        <v>78</v>
      </c>
      <c r="GR9" s="288">
        <v>87</v>
      </c>
      <c r="GS9" s="269">
        <v>78</v>
      </c>
      <c r="GT9" s="161">
        <v>78</v>
      </c>
      <c r="GU9" s="288">
        <v>87</v>
      </c>
      <c r="GV9" s="161">
        <v>78</v>
      </c>
      <c r="GW9" s="287">
        <v>87</v>
      </c>
      <c r="GX9" s="22">
        <v>68</v>
      </c>
      <c r="GY9" s="287">
        <v>87</v>
      </c>
      <c r="GZ9" s="161">
        <v>78</v>
      </c>
      <c r="HA9" s="150">
        <v>13</v>
      </c>
      <c r="HB9" s="150">
        <v>13</v>
      </c>
      <c r="HC9" s="287">
        <v>87</v>
      </c>
      <c r="HD9" s="151">
        <v>85</v>
      </c>
      <c r="HE9" s="151">
        <v>85</v>
      </c>
      <c r="HF9" s="151">
        <v>85</v>
      </c>
      <c r="HG9" s="287">
        <v>87</v>
      </c>
      <c r="HH9" s="150">
        <v>13</v>
      </c>
      <c r="HI9" s="280">
        <v>69</v>
      </c>
      <c r="HJ9" s="280">
        <v>69</v>
      </c>
      <c r="HK9" s="150">
        <v>13</v>
      </c>
      <c r="HL9" s="287">
        <v>87</v>
      </c>
      <c r="HM9" s="151">
        <v>85</v>
      </c>
      <c r="HN9" s="151">
        <v>85</v>
      </c>
      <c r="HO9" s="151">
        <v>85</v>
      </c>
      <c r="HP9" s="287">
        <v>87</v>
      </c>
      <c r="HQ9" s="150">
        <v>13</v>
      </c>
      <c r="HR9" s="150">
        <v>13</v>
      </c>
      <c r="HS9" s="287">
        <v>87</v>
      </c>
      <c r="HT9" s="151">
        <v>85</v>
      </c>
      <c r="HU9" s="151">
        <v>85</v>
      </c>
      <c r="HV9" s="287">
        <v>87</v>
      </c>
      <c r="HW9" s="150">
        <v>13</v>
      </c>
      <c r="HX9" s="150">
        <v>13</v>
      </c>
      <c r="HY9" s="150">
        <v>13</v>
      </c>
      <c r="HZ9" s="150">
        <v>13</v>
      </c>
      <c r="IA9" s="150">
        <v>13</v>
      </c>
      <c r="IB9" s="287">
        <v>87</v>
      </c>
      <c r="IC9" s="150">
        <v>13</v>
      </c>
      <c r="ID9" s="22">
        <v>68</v>
      </c>
      <c r="IE9" s="150">
        <v>13</v>
      </c>
      <c r="IF9" s="150">
        <v>13</v>
      </c>
      <c r="IG9" s="150">
        <v>13</v>
      </c>
      <c r="IH9" s="150">
        <v>13</v>
      </c>
      <c r="II9" s="150">
        <v>13</v>
      </c>
      <c r="IJ9" s="150">
        <v>13</v>
      </c>
      <c r="IK9" s="150">
        <v>13</v>
      </c>
      <c r="IL9" s="150">
        <v>13</v>
      </c>
      <c r="IM9" s="150">
        <v>13</v>
      </c>
      <c r="IN9" s="150">
        <v>13</v>
      </c>
      <c r="IO9" s="132">
        <v>115</v>
      </c>
      <c r="IP9" s="150">
        <v>13</v>
      </c>
      <c r="IQ9" s="132">
        <v>115</v>
      </c>
      <c r="IR9" s="150">
        <v>13</v>
      </c>
      <c r="IS9" s="150">
        <v>13</v>
      </c>
      <c r="IT9" s="150">
        <v>13</v>
      </c>
      <c r="IU9" s="150">
        <v>13</v>
      </c>
      <c r="IV9" s="150">
        <v>13</v>
      </c>
      <c r="IW9" s="150">
        <v>13</v>
      </c>
    </row>
    <row r="10" spans="1:257" s="42" customFormat="1" ht="20" hidden="1" customHeight="1" x14ac:dyDescent="0.2">
      <c r="A10" s="43">
        <v>8</v>
      </c>
      <c r="B10" s="60">
        <v>84</v>
      </c>
      <c r="C10" s="60">
        <v>84</v>
      </c>
      <c r="D10" s="272">
        <v>68</v>
      </c>
      <c r="E10" s="60">
        <v>84</v>
      </c>
      <c r="F10" s="60">
        <v>84</v>
      </c>
      <c r="G10" s="60">
        <v>84</v>
      </c>
      <c r="H10" s="60">
        <v>84</v>
      </c>
      <c r="I10" s="60">
        <v>84</v>
      </c>
      <c r="J10" s="60">
        <v>84</v>
      </c>
      <c r="K10" s="60">
        <v>84</v>
      </c>
      <c r="L10" s="60">
        <v>84</v>
      </c>
      <c r="M10" s="60">
        <v>84</v>
      </c>
      <c r="N10" s="60">
        <v>84</v>
      </c>
      <c r="O10" s="60">
        <v>84</v>
      </c>
      <c r="P10" s="60">
        <v>84</v>
      </c>
      <c r="Q10" s="60">
        <v>84</v>
      </c>
      <c r="R10" s="60">
        <v>84</v>
      </c>
      <c r="S10" s="43">
        <v>0</v>
      </c>
      <c r="T10" s="272">
        <v>68</v>
      </c>
      <c r="U10" s="43">
        <v>0</v>
      </c>
      <c r="V10" s="43">
        <v>0</v>
      </c>
      <c r="W10" s="272">
        <v>68</v>
      </c>
      <c r="X10" s="43">
        <v>0</v>
      </c>
      <c r="Y10" s="43">
        <v>0</v>
      </c>
      <c r="Z10" s="43">
        <v>0</v>
      </c>
      <c r="AA10" s="272">
        <v>68</v>
      </c>
      <c r="AB10" s="43">
        <v>0</v>
      </c>
      <c r="AC10" s="43">
        <v>0</v>
      </c>
      <c r="AD10" s="43">
        <v>0</v>
      </c>
      <c r="AE10" s="43">
        <v>0</v>
      </c>
      <c r="AF10" s="43">
        <v>0</v>
      </c>
      <c r="AG10" s="60">
        <v>84</v>
      </c>
      <c r="AH10" s="60">
        <v>84</v>
      </c>
      <c r="AI10" s="43">
        <v>0</v>
      </c>
      <c r="AJ10" s="64">
        <v>40</v>
      </c>
      <c r="AK10" s="43">
        <v>0</v>
      </c>
      <c r="AL10" s="43">
        <v>0</v>
      </c>
      <c r="AM10" s="272">
        <v>68</v>
      </c>
      <c r="AN10" s="43">
        <v>0</v>
      </c>
      <c r="AO10" s="43">
        <v>0</v>
      </c>
      <c r="AP10" s="43">
        <v>0</v>
      </c>
      <c r="AQ10" s="272">
        <v>68</v>
      </c>
      <c r="AR10" s="55">
        <v>77</v>
      </c>
      <c r="AS10" s="60">
        <v>84</v>
      </c>
      <c r="AT10" s="60">
        <v>84</v>
      </c>
      <c r="AU10" s="60">
        <v>84</v>
      </c>
      <c r="AV10" s="60">
        <v>84</v>
      </c>
      <c r="AW10" s="60">
        <v>84</v>
      </c>
      <c r="AX10" s="60">
        <v>84</v>
      </c>
      <c r="AY10" s="43">
        <v>0</v>
      </c>
      <c r="AZ10" s="64">
        <v>40</v>
      </c>
      <c r="BA10" s="58">
        <v>35</v>
      </c>
      <c r="BB10" s="43">
        <v>0</v>
      </c>
      <c r="BC10" s="43">
        <v>0</v>
      </c>
      <c r="BD10" s="272">
        <v>68</v>
      </c>
      <c r="BE10" s="11">
        <v>113</v>
      </c>
      <c r="BF10" s="43">
        <v>0</v>
      </c>
      <c r="BG10" s="272">
        <v>68</v>
      </c>
      <c r="BH10" s="43">
        <v>0</v>
      </c>
      <c r="BI10" s="43">
        <v>0</v>
      </c>
      <c r="BJ10" s="58">
        <v>35</v>
      </c>
      <c r="BK10" s="43">
        <v>0</v>
      </c>
      <c r="BL10" s="43">
        <v>0</v>
      </c>
      <c r="BM10" s="60">
        <v>84</v>
      </c>
      <c r="BN10" s="60">
        <v>84</v>
      </c>
      <c r="BO10" s="179">
        <v>25</v>
      </c>
      <c r="BP10" s="64">
        <v>40</v>
      </c>
      <c r="BQ10" s="43">
        <v>0</v>
      </c>
      <c r="BR10" s="272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72">
        <v>68</v>
      </c>
      <c r="CI10" s="43">
        <v>0</v>
      </c>
      <c r="CJ10" s="275">
        <v>62</v>
      </c>
      <c r="CK10" s="43">
        <v>0</v>
      </c>
      <c r="CL10" s="43">
        <v>0</v>
      </c>
      <c r="CM10" s="274">
        <v>58</v>
      </c>
      <c r="CN10" s="274">
        <v>58</v>
      </c>
      <c r="CO10" s="43">
        <v>0</v>
      </c>
      <c r="CP10" s="179">
        <v>25</v>
      </c>
      <c r="CQ10" s="43">
        <v>0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43">
        <v>0</v>
      </c>
      <c r="DC10" s="60">
        <v>84</v>
      </c>
      <c r="DD10" s="60">
        <v>84</v>
      </c>
      <c r="DE10" s="43">
        <v>0</v>
      </c>
      <c r="DF10" s="192">
        <v>63</v>
      </c>
      <c r="DG10" s="192">
        <v>63</v>
      </c>
      <c r="DH10" s="192">
        <v>63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80">
        <v>69</v>
      </c>
      <c r="EX10" s="280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50">
        <v>13</v>
      </c>
      <c r="FG10" s="150">
        <v>13</v>
      </c>
      <c r="FH10" s="150">
        <v>13</v>
      </c>
      <c r="FI10" s="161">
        <v>78</v>
      </c>
      <c r="FJ10" s="150">
        <v>13</v>
      </c>
      <c r="FK10" s="150">
        <v>13</v>
      </c>
      <c r="FL10" s="150">
        <v>13</v>
      </c>
      <c r="FM10" s="161">
        <v>78</v>
      </c>
      <c r="FN10" s="161">
        <v>78</v>
      </c>
      <c r="FO10" s="150">
        <v>13</v>
      </c>
      <c r="FP10" s="150">
        <v>13</v>
      </c>
      <c r="FQ10" s="150">
        <v>13</v>
      </c>
      <c r="FR10" s="161">
        <v>78</v>
      </c>
      <c r="FS10" s="150">
        <v>13</v>
      </c>
      <c r="FT10" s="150">
        <v>13</v>
      </c>
      <c r="FU10" s="150">
        <v>13</v>
      </c>
      <c r="FV10" s="150">
        <v>13</v>
      </c>
      <c r="FW10" s="150">
        <v>13</v>
      </c>
      <c r="FX10" s="150">
        <v>13</v>
      </c>
      <c r="FY10" s="22">
        <v>68</v>
      </c>
      <c r="FZ10" s="150">
        <v>13</v>
      </c>
      <c r="GA10" s="150">
        <v>13</v>
      </c>
      <c r="GB10" s="150">
        <v>13</v>
      </c>
      <c r="GC10" s="150">
        <v>13</v>
      </c>
      <c r="GD10" s="150">
        <v>13</v>
      </c>
      <c r="GE10" s="150">
        <v>13</v>
      </c>
      <c r="GF10" s="150">
        <v>13</v>
      </c>
      <c r="GG10" s="150">
        <v>13</v>
      </c>
      <c r="GH10" s="22">
        <v>68</v>
      </c>
      <c r="GI10" s="150">
        <v>13</v>
      </c>
      <c r="GJ10" s="150">
        <v>13</v>
      </c>
      <c r="GK10" s="150">
        <v>13</v>
      </c>
      <c r="GL10" s="150">
        <v>13</v>
      </c>
      <c r="GM10" s="150">
        <v>13</v>
      </c>
      <c r="GN10" s="150">
        <v>13</v>
      </c>
      <c r="GO10" s="22">
        <v>68</v>
      </c>
      <c r="GP10" s="150">
        <v>13</v>
      </c>
      <c r="GQ10" s="150">
        <v>13</v>
      </c>
      <c r="GR10" s="150">
        <v>13</v>
      </c>
      <c r="GS10" s="150">
        <v>13</v>
      </c>
      <c r="GT10" s="150">
        <v>13</v>
      </c>
      <c r="GU10" s="150">
        <v>13</v>
      </c>
      <c r="GV10" s="150">
        <v>13</v>
      </c>
      <c r="GW10" s="150">
        <v>13</v>
      </c>
      <c r="GX10" s="22">
        <v>68</v>
      </c>
      <c r="GY10" s="150">
        <v>13</v>
      </c>
      <c r="GZ10" s="150">
        <v>13</v>
      </c>
      <c r="HA10" s="150">
        <v>13</v>
      </c>
      <c r="HB10" s="150">
        <v>13</v>
      </c>
      <c r="HC10" s="150">
        <v>13</v>
      </c>
      <c r="HD10" s="150">
        <v>13</v>
      </c>
      <c r="HE10" s="150">
        <v>13</v>
      </c>
      <c r="HF10" s="150">
        <v>13</v>
      </c>
      <c r="HG10" s="150">
        <v>13</v>
      </c>
      <c r="HH10" s="150">
        <v>13</v>
      </c>
      <c r="HI10" s="280">
        <v>69</v>
      </c>
      <c r="HJ10" s="280">
        <v>69</v>
      </c>
      <c r="HK10" s="150">
        <v>13</v>
      </c>
      <c r="HL10" s="150">
        <v>13</v>
      </c>
      <c r="HM10" s="150">
        <v>13</v>
      </c>
      <c r="HN10" s="150">
        <v>13</v>
      </c>
      <c r="HO10" s="150">
        <v>13</v>
      </c>
      <c r="HP10" s="150">
        <v>13</v>
      </c>
      <c r="HQ10" s="150">
        <v>13</v>
      </c>
      <c r="HR10" s="150">
        <v>13</v>
      </c>
      <c r="HS10" s="150">
        <v>13</v>
      </c>
      <c r="HT10" s="150">
        <v>13</v>
      </c>
      <c r="HU10" s="150">
        <v>13</v>
      </c>
      <c r="HV10" s="150">
        <v>13</v>
      </c>
      <c r="HW10" s="150">
        <v>13</v>
      </c>
      <c r="HX10" s="150">
        <v>13</v>
      </c>
      <c r="HY10" s="150">
        <v>13</v>
      </c>
      <c r="HZ10" s="150">
        <v>13</v>
      </c>
      <c r="IA10" s="150">
        <v>13</v>
      </c>
      <c r="IB10" s="150">
        <v>13</v>
      </c>
      <c r="IC10" s="150">
        <v>13</v>
      </c>
      <c r="ID10" s="22">
        <v>68</v>
      </c>
      <c r="IE10" s="150">
        <v>13</v>
      </c>
      <c r="IF10" s="150">
        <v>13</v>
      </c>
      <c r="IG10" s="150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40">
        <v>48</v>
      </c>
      <c r="IN10" s="140">
        <v>48</v>
      </c>
      <c r="IO10" s="140">
        <v>48</v>
      </c>
      <c r="IP10" s="140">
        <v>48</v>
      </c>
      <c r="IQ10" s="140">
        <v>48</v>
      </c>
      <c r="IR10" s="140">
        <v>48</v>
      </c>
      <c r="IS10" s="140">
        <v>48</v>
      </c>
      <c r="IT10" s="140">
        <v>48</v>
      </c>
      <c r="IU10" s="140">
        <v>48</v>
      </c>
      <c r="IV10" s="140">
        <v>48</v>
      </c>
      <c r="IW10" s="140">
        <v>48</v>
      </c>
    </row>
    <row r="11" spans="1:257" ht="20" hidden="1" customHeight="1" x14ac:dyDescent="0.25"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2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2"/>
      <c r="AX11" s="141"/>
      <c r="AY11" s="141"/>
      <c r="AZ11" s="141"/>
      <c r="BA11" s="141"/>
      <c r="BB11" s="141"/>
      <c r="BC11" s="141"/>
      <c r="BD11" s="141"/>
      <c r="BE11" s="141"/>
      <c r="BF11" s="141"/>
      <c r="BG11" s="141"/>
      <c r="BH11" s="141"/>
      <c r="BI11" s="141"/>
      <c r="BJ11" s="141"/>
      <c r="BK11" s="141"/>
      <c r="BL11" s="141"/>
      <c r="BM11" s="142"/>
      <c r="BN11" s="141"/>
      <c r="BO11" s="141"/>
      <c r="BP11" s="141"/>
      <c r="BQ11" s="141"/>
      <c r="BR11" s="141"/>
      <c r="BS11" s="141"/>
      <c r="BT11" s="141"/>
      <c r="BU11" s="141"/>
      <c r="BV11" s="141"/>
      <c r="BW11" s="141"/>
      <c r="BX11" s="141"/>
      <c r="BY11" s="141"/>
      <c r="BZ11" s="141"/>
      <c r="CA11" s="141"/>
      <c r="CB11" s="141"/>
      <c r="CC11" s="142"/>
      <c r="CD11" s="141"/>
      <c r="CE11" s="141"/>
      <c r="CF11" s="141"/>
      <c r="CG11" s="141"/>
      <c r="CH11" s="141"/>
      <c r="CI11" s="141"/>
      <c r="CJ11" s="141"/>
      <c r="CK11" s="141"/>
      <c r="CL11" s="141"/>
      <c r="CM11" s="141"/>
      <c r="CN11" s="141"/>
      <c r="CO11" s="141"/>
      <c r="CP11" s="141"/>
      <c r="CQ11" s="141"/>
      <c r="CR11" s="141"/>
      <c r="CS11" s="142"/>
      <c r="CT11" s="141"/>
      <c r="CU11" s="141"/>
      <c r="CV11" s="141"/>
      <c r="CW11" s="141"/>
      <c r="CX11" s="141"/>
      <c r="CY11" s="141"/>
      <c r="CZ11" s="141"/>
      <c r="DA11" s="141"/>
      <c r="DB11" s="141"/>
      <c r="DC11" s="141"/>
      <c r="DD11" s="141"/>
      <c r="DE11" s="141"/>
      <c r="DF11" s="141"/>
      <c r="DG11" s="141"/>
      <c r="DH11" s="141"/>
      <c r="DI11" s="142"/>
      <c r="DJ11" s="141"/>
      <c r="DK11" s="141"/>
      <c r="DL11" s="141"/>
      <c r="DM11" s="141"/>
      <c r="DN11" s="141"/>
      <c r="DO11" s="141"/>
      <c r="DP11" s="141"/>
      <c r="DQ11" s="141"/>
      <c r="DR11" s="141"/>
      <c r="DS11" s="141"/>
      <c r="DT11" s="141"/>
      <c r="DU11" s="141"/>
      <c r="DV11" s="141"/>
      <c r="DW11" s="141"/>
      <c r="DX11" s="141"/>
      <c r="DY11" s="142"/>
      <c r="DZ11" s="143"/>
      <c r="EA11" s="144"/>
      <c r="EB11" s="144"/>
      <c r="EC11" s="144"/>
      <c r="ED11" s="144"/>
      <c r="EE11" s="144"/>
      <c r="EF11" s="144"/>
      <c r="EG11" s="144"/>
      <c r="EH11" s="144"/>
      <c r="EI11" s="144"/>
      <c r="EJ11" s="144"/>
      <c r="EK11" s="144"/>
      <c r="EL11" s="144"/>
      <c r="EM11" s="144"/>
      <c r="EN11" s="144"/>
      <c r="EO11" s="145"/>
      <c r="EP11" s="144"/>
      <c r="EQ11" s="144"/>
      <c r="ER11" s="144"/>
      <c r="ES11" s="144"/>
      <c r="ET11" s="144"/>
      <c r="EU11" s="144"/>
      <c r="EV11" s="144"/>
      <c r="EW11" s="144"/>
      <c r="EX11" s="144"/>
      <c r="EY11" s="144"/>
      <c r="EZ11" s="144"/>
      <c r="FA11" s="144"/>
      <c r="FB11" s="144"/>
      <c r="FC11" s="144"/>
      <c r="FD11" s="144"/>
      <c r="FE11" s="145"/>
      <c r="FF11" s="144"/>
      <c r="FG11" s="144"/>
      <c r="FH11" s="144"/>
      <c r="FI11" s="144"/>
      <c r="FJ11" s="144"/>
      <c r="FK11" s="144"/>
      <c r="FL11" s="144"/>
      <c r="FM11" s="144"/>
      <c r="FN11" s="144"/>
      <c r="FO11" s="144"/>
      <c r="FP11" s="144"/>
      <c r="FQ11" s="144"/>
      <c r="FR11" s="144"/>
      <c r="FS11" s="144"/>
      <c r="FT11" s="144"/>
      <c r="FU11" s="145"/>
      <c r="FV11" s="144"/>
      <c r="FW11" s="144"/>
      <c r="FX11" s="144"/>
      <c r="FY11" s="144"/>
      <c r="FZ11" s="144"/>
      <c r="GA11" s="144"/>
      <c r="GB11" s="144"/>
      <c r="GC11" s="144"/>
      <c r="GD11" s="144"/>
      <c r="GE11" s="144"/>
      <c r="GF11" s="144"/>
      <c r="GG11" s="144"/>
      <c r="GH11" s="144"/>
      <c r="GI11" s="144"/>
      <c r="GJ11" s="144"/>
      <c r="GK11" s="145"/>
      <c r="GL11" s="144"/>
      <c r="GM11" s="144"/>
      <c r="GN11" s="144"/>
      <c r="GO11" s="144"/>
      <c r="GP11" s="144"/>
      <c r="GQ11" s="144"/>
      <c r="GR11" s="144"/>
      <c r="GS11" s="144"/>
      <c r="GT11" s="144"/>
      <c r="GU11" s="144"/>
      <c r="GV11" s="144"/>
      <c r="GW11" s="144"/>
      <c r="GX11" s="144"/>
      <c r="GY11" s="144"/>
      <c r="GZ11" s="144"/>
      <c r="HA11" s="145"/>
      <c r="HB11" s="144"/>
      <c r="HC11" s="144"/>
      <c r="HD11" s="144"/>
      <c r="HE11" s="144"/>
      <c r="HF11" s="144"/>
      <c r="HG11" s="144"/>
      <c r="HH11" s="144"/>
      <c r="HI11" s="144"/>
      <c r="HJ11" s="144"/>
      <c r="HK11" s="144"/>
      <c r="HL11" s="144"/>
      <c r="HM11" s="144"/>
      <c r="HN11" s="144"/>
      <c r="HO11" s="144"/>
      <c r="HP11" s="144"/>
      <c r="HQ11" s="145"/>
      <c r="HR11" s="144"/>
      <c r="HS11" s="144"/>
      <c r="HT11" s="144"/>
      <c r="HU11" s="144"/>
      <c r="HV11" s="144"/>
      <c r="HW11" s="144"/>
      <c r="HX11" s="144"/>
      <c r="HY11" s="144"/>
      <c r="HZ11" s="144"/>
      <c r="IA11" s="144"/>
      <c r="IB11" s="144"/>
      <c r="IC11" s="144"/>
      <c r="ID11" s="144"/>
      <c r="IE11" s="144"/>
      <c r="IF11" s="144"/>
      <c r="IG11" s="145"/>
      <c r="IH11" s="144"/>
      <c r="II11" s="144"/>
      <c r="IJ11" s="144"/>
      <c r="IK11" s="144"/>
      <c r="IL11" s="144"/>
      <c r="IM11" s="144"/>
      <c r="IN11" s="144"/>
      <c r="IO11" s="144"/>
      <c r="IP11" s="144"/>
      <c r="IQ11" s="144"/>
      <c r="IR11" s="144"/>
      <c r="IS11" s="144"/>
      <c r="IT11" s="144"/>
      <c r="IU11" s="144"/>
      <c r="IV11" s="144"/>
      <c r="IW11" s="146"/>
    </row>
    <row r="12" spans="1:257" ht="20" hidden="1" customHeight="1" x14ac:dyDescent="0.25"/>
    <row r="13" spans="1:257" ht="20" hidden="1" customHeight="1" x14ac:dyDescent="0.25"/>
    <row r="14" spans="1:257" ht="20" hidden="1" customHeight="1" x14ac:dyDescent="0.25"/>
    <row r="15" spans="1:257" ht="20" hidden="1" customHeight="1" x14ac:dyDescent="0.25"/>
    <row r="16" spans="1:257" ht="20" hidden="1" customHeight="1" x14ac:dyDescent="0.25"/>
    <row r="17" spans="2:257" ht="20" hidden="1" customHeight="1" x14ac:dyDescent="0.25"/>
    <row r="18" spans="2:257" ht="20" hidden="1" customHeight="1" x14ac:dyDescent="0.25"/>
    <row r="19" spans="2:257" ht="20" customHeight="1" x14ac:dyDescent="0.2">
      <c r="B19" s="43">
        <v>0</v>
      </c>
      <c r="C19" s="48">
        <v>7</v>
      </c>
      <c r="D19" s="48">
        <v>8</v>
      </c>
      <c r="E19" s="43">
        <v>0</v>
      </c>
      <c r="F19" s="43">
        <v>0</v>
      </c>
      <c r="G19" s="150">
        <v>16</v>
      </c>
      <c r="H19" s="43">
        <v>0</v>
      </c>
      <c r="I19" s="43">
        <v>0</v>
      </c>
      <c r="J19" s="7">
        <v>117</v>
      </c>
      <c r="K19" s="43">
        <v>0</v>
      </c>
      <c r="L19" s="150">
        <v>16</v>
      </c>
      <c r="M19" s="43">
        <v>0</v>
      </c>
      <c r="N19" s="43">
        <v>0</v>
      </c>
      <c r="O19" s="48">
        <v>7</v>
      </c>
      <c r="P19" s="48">
        <v>8</v>
      </c>
      <c r="Q19" s="43">
        <v>0</v>
      </c>
      <c r="R19" s="267">
        <v>16</v>
      </c>
      <c r="T19" s="106" t="s">
        <v>167</v>
      </c>
      <c r="U19" s="107"/>
      <c r="V19" s="107"/>
      <c r="W19" s="108">
        <f>COUNTIF($B$2:$IW$10,40)</f>
        <v>100</v>
      </c>
      <c r="X19" s="109">
        <v>100</v>
      </c>
      <c r="AH19" s="60">
        <v>84</v>
      </c>
      <c r="AI19" s="53">
        <v>124</v>
      </c>
      <c r="AJ19" s="43">
        <v>0</v>
      </c>
      <c r="AK19" s="43">
        <v>0</v>
      </c>
      <c r="AL19" s="270">
        <v>116</v>
      </c>
      <c r="AM19" s="43">
        <v>0</v>
      </c>
      <c r="AN19" s="150">
        <v>13</v>
      </c>
      <c r="AO19" s="43">
        <v>0</v>
      </c>
      <c r="AP19" s="43">
        <v>0</v>
      </c>
      <c r="AQ19" s="150">
        <v>13</v>
      </c>
      <c r="AR19" s="43">
        <v>0</v>
      </c>
      <c r="AS19" s="270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2:257" ht="20" customHeight="1" x14ac:dyDescent="0.2">
      <c r="B20" s="43">
        <v>0</v>
      </c>
      <c r="C20" s="48">
        <v>9</v>
      </c>
      <c r="D20" s="48">
        <v>10</v>
      </c>
      <c r="E20" s="43">
        <v>0</v>
      </c>
      <c r="F20" s="241">
        <v>119</v>
      </c>
      <c r="G20" s="150">
        <v>16</v>
      </c>
      <c r="H20" s="43">
        <v>0</v>
      </c>
      <c r="I20" s="43">
        <v>0</v>
      </c>
      <c r="J20" s="43">
        <v>0</v>
      </c>
      <c r="K20" s="43">
        <v>0</v>
      </c>
      <c r="L20" s="150">
        <v>16</v>
      </c>
      <c r="M20" s="241">
        <v>119</v>
      </c>
      <c r="N20" s="43">
        <v>0</v>
      </c>
      <c r="O20" s="48">
        <v>9</v>
      </c>
      <c r="P20" s="48">
        <v>10</v>
      </c>
      <c r="Q20" s="43">
        <v>0</v>
      </c>
      <c r="R20" s="268"/>
      <c r="T20" s="110" t="s">
        <v>168</v>
      </c>
      <c r="U20" s="111"/>
      <c r="V20" s="111"/>
      <c r="W20" s="112">
        <f>COUNTIF($B$2:$IW$10,121) + COUNTIF($B$2:$IW$10,122)</f>
        <v>6</v>
      </c>
      <c r="X20" s="113">
        <v>4</v>
      </c>
      <c r="AH20" s="43">
        <v>0</v>
      </c>
      <c r="AI20" s="61">
        <v>90</v>
      </c>
      <c r="AJ20" s="43">
        <v>0</v>
      </c>
      <c r="AK20" s="43">
        <v>0</v>
      </c>
      <c r="AL20" s="43">
        <v>0</v>
      </c>
      <c r="AM20" s="43">
        <v>0</v>
      </c>
      <c r="AN20" s="150">
        <v>13</v>
      </c>
      <c r="AO20" s="43">
        <v>0</v>
      </c>
      <c r="AP20" s="43">
        <v>0</v>
      </c>
      <c r="AQ20" s="150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90</v>
      </c>
      <c r="AW20" s="43">
        <v>0</v>
      </c>
    </row>
    <row r="21" spans="2:257" ht="20" customHeight="1" x14ac:dyDescent="0.2">
      <c r="B21" s="43">
        <v>0</v>
      </c>
      <c r="C21" s="43">
        <v>0</v>
      </c>
      <c r="D21" s="43">
        <v>0</v>
      </c>
      <c r="E21" s="43">
        <v>0</v>
      </c>
      <c r="F21" s="274">
        <v>58</v>
      </c>
      <c r="G21" s="150">
        <v>16</v>
      </c>
      <c r="H21" s="43">
        <v>0</v>
      </c>
      <c r="I21" s="43">
        <v>0</v>
      </c>
      <c r="J21" s="43">
        <v>0</v>
      </c>
      <c r="K21" s="43">
        <v>0</v>
      </c>
      <c r="L21" s="150">
        <v>16</v>
      </c>
      <c r="M21" s="274">
        <v>58</v>
      </c>
      <c r="N21" s="43">
        <v>0</v>
      </c>
      <c r="O21" s="43">
        <v>0</v>
      </c>
      <c r="P21" s="43">
        <v>0</v>
      </c>
      <c r="Q21" s="43">
        <v>0</v>
      </c>
      <c r="R21" s="268"/>
      <c r="T21" s="110" t="s">
        <v>169</v>
      </c>
      <c r="U21" s="111"/>
      <c r="V21" s="111"/>
      <c r="W21" s="112">
        <f>COUNTIF($B$2:$IW$10,123) + COUNTIF($B$2:$IW$10,124)</f>
        <v>7</v>
      </c>
      <c r="X21" s="113">
        <v>4</v>
      </c>
      <c r="AH21" s="43">
        <v>0</v>
      </c>
      <c r="AI21" s="43">
        <v>0</v>
      </c>
      <c r="AJ21" s="43">
        <v>0</v>
      </c>
      <c r="AK21" s="43">
        <v>0</v>
      </c>
      <c r="AL21" s="161">
        <v>78</v>
      </c>
      <c r="AM21" s="43">
        <v>0</v>
      </c>
      <c r="AN21" s="150">
        <v>13</v>
      </c>
      <c r="AO21" s="43">
        <v>0</v>
      </c>
      <c r="AP21" s="43">
        <v>0</v>
      </c>
      <c r="AQ21" s="150">
        <v>13</v>
      </c>
      <c r="AR21" s="43">
        <v>0</v>
      </c>
      <c r="AS21" s="161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2:257" ht="20" customHeight="1" x14ac:dyDescent="0.2">
      <c r="B22" s="43">
        <v>0</v>
      </c>
      <c r="C22" s="43">
        <v>0</v>
      </c>
      <c r="D22" s="43">
        <v>0</v>
      </c>
      <c r="E22" s="43">
        <v>0</v>
      </c>
      <c r="F22" s="43">
        <v>0</v>
      </c>
      <c r="G22" s="150">
        <v>16</v>
      </c>
      <c r="H22" s="43">
        <v>0</v>
      </c>
      <c r="I22" s="271">
        <v>120</v>
      </c>
      <c r="J22" s="43">
        <v>0</v>
      </c>
      <c r="K22" s="43">
        <v>0</v>
      </c>
      <c r="L22" s="150">
        <v>16</v>
      </c>
      <c r="M22" s="43">
        <v>0</v>
      </c>
      <c r="N22" s="43">
        <v>0</v>
      </c>
      <c r="O22" s="43">
        <v>0</v>
      </c>
      <c r="P22" s="43">
        <v>0</v>
      </c>
      <c r="Q22" s="43">
        <v>0</v>
      </c>
      <c r="R22" s="268"/>
      <c r="T22" s="110" t="s">
        <v>170</v>
      </c>
      <c r="U22" s="111"/>
      <c r="V22" s="111"/>
      <c r="W22" s="112">
        <f>COUNTIF($B$2:$IW$10,125) + COUNTIF($B$2:$IW$10,126)</f>
        <v>1</v>
      </c>
      <c r="X22" s="113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50">
        <v>13</v>
      </c>
      <c r="AO22" s="271">
        <v>120</v>
      </c>
      <c r="AP22" s="43">
        <v>0</v>
      </c>
      <c r="AQ22" s="150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2:257" ht="20" customHeight="1" x14ac:dyDescent="0.2">
      <c r="B23" s="43">
        <v>0</v>
      </c>
      <c r="C23" s="53">
        <v>124</v>
      </c>
      <c r="D23" s="233">
        <v>59</v>
      </c>
      <c r="E23" s="43">
        <v>0</v>
      </c>
      <c r="F23" s="43">
        <v>0</v>
      </c>
      <c r="G23" s="150">
        <v>16</v>
      </c>
      <c r="H23" s="43">
        <v>0</v>
      </c>
      <c r="I23" s="271">
        <v>120</v>
      </c>
      <c r="J23" s="43">
        <v>0</v>
      </c>
      <c r="K23" s="43">
        <v>0</v>
      </c>
      <c r="L23" s="150">
        <v>16</v>
      </c>
      <c r="M23" s="43">
        <v>0</v>
      </c>
      <c r="N23" s="43">
        <v>0</v>
      </c>
      <c r="O23" s="233">
        <v>59</v>
      </c>
      <c r="P23" s="53">
        <v>124</v>
      </c>
      <c r="Q23" s="43">
        <v>0</v>
      </c>
      <c r="R23" s="268"/>
      <c r="T23" s="110" t="s">
        <v>171</v>
      </c>
      <c r="U23" s="111"/>
      <c r="V23" s="111"/>
      <c r="W23" s="112">
        <f>COUNTIF($B$2:$IW$10,41) + COUNTIF($B$2:$IW$10,42)+COUNTIF($B$2:$IW$10,43) + COUNTIF($B$2:$IW$10,44)+COUNTIF($B$2:$IW$10,45) + COUNTIF($B$2:$IW$10,46)</f>
        <v>6</v>
      </c>
      <c r="X23" s="113">
        <v>6</v>
      </c>
      <c r="AH23" s="43">
        <v>0</v>
      </c>
      <c r="AI23" s="161">
        <v>78</v>
      </c>
      <c r="AJ23" s="161">
        <v>78</v>
      </c>
      <c r="AK23" s="43">
        <v>0</v>
      </c>
      <c r="AL23" s="43">
        <v>0</v>
      </c>
      <c r="AM23" s="43">
        <v>0</v>
      </c>
      <c r="AN23" s="150">
        <v>13</v>
      </c>
      <c r="AO23" s="271">
        <v>120</v>
      </c>
      <c r="AP23" s="43">
        <v>0</v>
      </c>
      <c r="AQ23" s="150">
        <v>13</v>
      </c>
      <c r="AR23" s="43">
        <v>0</v>
      </c>
      <c r="AS23" s="43">
        <v>0</v>
      </c>
      <c r="AT23" s="43">
        <v>0</v>
      </c>
      <c r="AU23" s="161">
        <v>78</v>
      </c>
      <c r="AV23" s="161">
        <v>78</v>
      </c>
      <c r="AW23" s="43">
        <v>0</v>
      </c>
    </row>
    <row r="24" spans="2:257" ht="20" customHeight="1" x14ac:dyDescent="0.2">
      <c r="B24" s="43">
        <v>0</v>
      </c>
      <c r="C24" s="61">
        <v>90</v>
      </c>
      <c r="D24" s="43">
        <v>0</v>
      </c>
      <c r="E24" s="43">
        <v>0</v>
      </c>
      <c r="F24" s="241">
        <v>119</v>
      </c>
      <c r="G24" s="150">
        <v>16</v>
      </c>
      <c r="H24" s="43">
        <v>0</v>
      </c>
      <c r="I24" s="43">
        <v>0</v>
      </c>
      <c r="J24" s="43">
        <v>0</v>
      </c>
      <c r="K24" s="43">
        <v>0</v>
      </c>
      <c r="L24" s="150">
        <v>16</v>
      </c>
      <c r="M24" s="241">
        <v>119</v>
      </c>
      <c r="N24" s="43">
        <v>0</v>
      </c>
      <c r="O24" s="43">
        <v>0</v>
      </c>
      <c r="P24" s="61">
        <v>90</v>
      </c>
      <c r="Q24" s="43">
        <v>0</v>
      </c>
      <c r="R24" s="268"/>
      <c r="T24" s="110" t="s">
        <v>172</v>
      </c>
      <c r="U24" s="111"/>
      <c r="V24" s="111"/>
      <c r="W24" s="112">
        <f>COUNTIF($B$2:$IW$10,47)</f>
        <v>1</v>
      </c>
      <c r="X24" s="113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50">
        <v>13</v>
      </c>
      <c r="AO24" s="43">
        <v>0</v>
      </c>
      <c r="AP24" s="43">
        <v>0</v>
      </c>
      <c r="AQ24" s="150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2:257" ht="20" customHeight="1" x14ac:dyDescent="0.2">
      <c r="B25" s="43">
        <v>0</v>
      </c>
      <c r="C25" s="43">
        <v>0</v>
      </c>
      <c r="D25" s="43">
        <v>0</v>
      </c>
      <c r="E25" s="43">
        <v>0</v>
      </c>
      <c r="F25" s="274">
        <v>58</v>
      </c>
      <c r="G25" s="150">
        <v>16</v>
      </c>
      <c r="H25" s="43">
        <v>0</v>
      </c>
      <c r="I25" s="43">
        <v>0</v>
      </c>
      <c r="J25" s="43">
        <v>0</v>
      </c>
      <c r="K25" s="43">
        <v>0</v>
      </c>
      <c r="L25" s="150">
        <v>16</v>
      </c>
      <c r="M25" s="274">
        <v>58</v>
      </c>
      <c r="N25" s="43">
        <v>0</v>
      </c>
      <c r="O25" s="43">
        <v>0</v>
      </c>
      <c r="P25" s="43">
        <v>0</v>
      </c>
      <c r="Q25" s="43">
        <v>0</v>
      </c>
      <c r="R25" s="268"/>
      <c r="T25" s="110" t="s">
        <v>173</v>
      </c>
      <c r="U25" s="111"/>
      <c r="V25" s="111"/>
      <c r="W25" s="112">
        <f>COUNTIF($B$2:$IW$10,36) + COUNTIF($B$2:$IW$10,37)+COUNTIF($B$2:$IW$10,38) + COUNTIF($B$2:$IW$10,39)</f>
        <v>4</v>
      </c>
      <c r="X25" s="113">
        <v>4</v>
      </c>
      <c r="AH25" s="43">
        <v>0</v>
      </c>
      <c r="AI25" s="43">
        <v>0</v>
      </c>
      <c r="AJ25" s="43">
        <v>0</v>
      </c>
      <c r="AK25" s="43">
        <v>0</v>
      </c>
      <c r="AL25" s="161">
        <v>78</v>
      </c>
      <c r="AM25" s="43">
        <v>0</v>
      </c>
      <c r="AN25" s="150">
        <v>13</v>
      </c>
      <c r="AO25" s="43">
        <v>0</v>
      </c>
      <c r="AP25" s="43">
        <v>0</v>
      </c>
      <c r="AQ25" s="150">
        <v>13</v>
      </c>
      <c r="AR25" s="43">
        <v>0</v>
      </c>
      <c r="AS25" s="161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2:257" ht="20" customHeight="1" thickBot="1" x14ac:dyDescent="0.25">
      <c r="B26" s="150">
        <v>16</v>
      </c>
      <c r="C26" s="150">
        <v>16</v>
      </c>
      <c r="D26" s="43">
        <v>0</v>
      </c>
      <c r="E26" s="150">
        <v>16</v>
      </c>
      <c r="F26" s="150">
        <v>16</v>
      </c>
      <c r="G26" s="150">
        <v>16</v>
      </c>
      <c r="H26" s="150">
        <v>16</v>
      </c>
      <c r="I26" s="150">
        <v>16</v>
      </c>
      <c r="J26" s="150">
        <v>16</v>
      </c>
      <c r="K26" s="150">
        <v>16</v>
      </c>
      <c r="L26" s="150">
        <v>16</v>
      </c>
      <c r="M26" s="150">
        <v>16</v>
      </c>
      <c r="N26" s="150">
        <v>16</v>
      </c>
      <c r="O26" s="43">
        <v>0</v>
      </c>
      <c r="P26" s="150">
        <v>16</v>
      </c>
      <c r="Q26" s="150">
        <v>16</v>
      </c>
      <c r="R26" s="268"/>
      <c r="T26" s="114" t="s">
        <v>174</v>
      </c>
      <c r="U26" s="115"/>
      <c r="V26" s="115"/>
      <c r="W26" s="116">
        <f>COUNTIF($B$2:$IW$10,72) + COUNTIF($B$2:$IW$10,73)+COUNTIF($B$2:$IW$10,74) + COUNTIF($B$2:$IW$10,75)</f>
        <v>4</v>
      </c>
      <c r="X26" s="117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50">
        <v>13</v>
      </c>
      <c r="AO26" s="150">
        <v>13</v>
      </c>
      <c r="AP26" s="150">
        <v>13</v>
      </c>
      <c r="AQ26" s="150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2:257" s="246" customFormat="1" ht="20" customHeight="1" x14ac:dyDescent="0.2">
      <c r="B27" s="60">
        <v>84</v>
      </c>
      <c r="C27" s="60">
        <v>84</v>
      </c>
      <c r="D27" s="272">
        <v>68</v>
      </c>
      <c r="E27" s="60">
        <v>84</v>
      </c>
      <c r="F27" s="60">
        <v>84</v>
      </c>
      <c r="G27" s="60">
        <v>84</v>
      </c>
      <c r="H27" s="60">
        <v>84</v>
      </c>
      <c r="I27" s="60">
        <v>84</v>
      </c>
      <c r="J27" s="60">
        <v>84</v>
      </c>
      <c r="K27" s="60">
        <v>84</v>
      </c>
      <c r="L27" s="60">
        <v>84</v>
      </c>
      <c r="M27" s="60">
        <v>84</v>
      </c>
      <c r="N27" s="60">
        <v>84</v>
      </c>
      <c r="O27" s="60">
        <v>84</v>
      </c>
      <c r="P27" s="60">
        <v>84</v>
      </c>
      <c r="Q27" s="60">
        <v>84</v>
      </c>
      <c r="R27" s="268"/>
      <c r="AG27" s="247"/>
      <c r="AH27" s="60">
        <v>84</v>
      </c>
      <c r="AI27" s="60">
        <v>84</v>
      </c>
      <c r="AJ27" s="272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  <c r="BM27" s="247"/>
      <c r="CC27" s="247"/>
      <c r="CS27" s="247"/>
      <c r="DI27" s="247"/>
      <c r="DY27" s="247"/>
      <c r="EO27" s="247"/>
      <c r="FE27" s="247"/>
      <c r="FU27" s="247"/>
      <c r="GK27" s="247"/>
      <c r="HA27" s="247"/>
      <c r="HQ27" s="247"/>
      <c r="IG27" s="247"/>
      <c r="IW27" s="247"/>
    </row>
    <row r="28" spans="2:257" ht="20" customHeight="1" x14ac:dyDescent="0.2">
      <c r="B28" s="161">
        <v>78</v>
      </c>
      <c r="C28" s="161">
        <v>78</v>
      </c>
      <c r="D28" s="272">
        <v>68</v>
      </c>
      <c r="E28" s="161">
        <v>78</v>
      </c>
      <c r="F28" s="161">
        <v>78</v>
      </c>
      <c r="G28" s="161">
        <v>78</v>
      </c>
      <c r="H28" s="161">
        <v>78</v>
      </c>
      <c r="I28" s="161">
        <v>78</v>
      </c>
      <c r="J28" s="161">
        <v>78</v>
      </c>
      <c r="K28" s="161">
        <v>78</v>
      </c>
      <c r="L28" s="161">
        <v>78</v>
      </c>
      <c r="M28" s="161">
        <v>78</v>
      </c>
      <c r="N28" s="161">
        <v>78</v>
      </c>
      <c r="O28" s="161">
        <v>78</v>
      </c>
      <c r="P28" s="161">
        <v>78</v>
      </c>
      <c r="Q28" s="161">
        <v>78</v>
      </c>
      <c r="R28" s="267">
        <v>15</v>
      </c>
    </row>
    <row r="29" spans="2:257" ht="20" customHeight="1" x14ac:dyDescent="0.2">
      <c r="B29" s="60">
        <v>84</v>
      </c>
      <c r="C29" s="167">
        <v>24</v>
      </c>
      <c r="D29" s="272">
        <v>68</v>
      </c>
      <c r="E29" s="196">
        <v>122</v>
      </c>
      <c r="F29" s="167">
        <v>24</v>
      </c>
      <c r="G29" s="272">
        <v>68</v>
      </c>
      <c r="H29" s="167">
        <v>24</v>
      </c>
      <c r="I29" s="167">
        <v>24</v>
      </c>
      <c r="J29" s="167">
        <v>24</v>
      </c>
      <c r="K29" s="272">
        <v>68</v>
      </c>
      <c r="L29" s="167">
        <v>24</v>
      </c>
      <c r="M29" s="167">
        <v>24</v>
      </c>
      <c r="N29" s="167">
        <v>24</v>
      </c>
      <c r="O29" s="196">
        <v>122</v>
      </c>
      <c r="P29" s="167">
        <v>24</v>
      </c>
      <c r="Q29" s="60">
        <v>84</v>
      </c>
      <c r="R29" s="268"/>
    </row>
    <row r="30" spans="2:257" ht="20" customHeight="1" x14ac:dyDescent="0.2">
      <c r="B30" s="60">
        <v>84</v>
      </c>
      <c r="C30" s="167">
        <v>24</v>
      </c>
      <c r="D30" s="272">
        <v>68</v>
      </c>
      <c r="E30" s="200">
        <v>90</v>
      </c>
      <c r="F30" s="167">
        <v>24</v>
      </c>
      <c r="G30" s="272">
        <v>68</v>
      </c>
      <c r="H30" s="167">
        <v>24</v>
      </c>
      <c r="I30" s="167">
        <v>24</v>
      </c>
      <c r="J30" s="167">
        <v>24</v>
      </c>
      <c r="K30" s="272">
        <v>68</v>
      </c>
      <c r="L30" s="167">
        <v>24</v>
      </c>
      <c r="M30" s="167">
        <v>24</v>
      </c>
      <c r="N30" s="167">
        <v>24</v>
      </c>
      <c r="O30" s="200">
        <v>90</v>
      </c>
      <c r="P30" s="167">
        <v>24</v>
      </c>
      <c r="Q30" s="60">
        <v>84</v>
      </c>
      <c r="R30" s="268"/>
    </row>
    <row r="31" spans="2:257" ht="20" customHeight="1" x14ac:dyDescent="0.2">
      <c r="B31" s="60">
        <v>84</v>
      </c>
      <c r="C31" s="167">
        <v>24</v>
      </c>
      <c r="D31" s="272">
        <v>68</v>
      </c>
      <c r="E31" s="167">
        <v>24</v>
      </c>
      <c r="F31" s="167">
        <v>24</v>
      </c>
      <c r="G31" s="272">
        <v>68</v>
      </c>
      <c r="H31" s="167">
        <v>24</v>
      </c>
      <c r="I31" s="167">
        <v>24</v>
      </c>
      <c r="J31" s="167">
        <v>24</v>
      </c>
      <c r="K31" s="272">
        <v>68</v>
      </c>
      <c r="L31" s="167">
        <v>24</v>
      </c>
      <c r="M31" s="167">
        <v>24</v>
      </c>
      <c r="N31" s="167">
        <v>24</v>
      </c>
      <c r="O31" s="167">
        <v>24</v>
      </c>
      <c r="P31" s="167">
        <v>24</v>
      </c>
      <c r="Q31" s="60">
        <v>84</v>
      </c>
      <c r="R31" s="268"/>
    </row>
    <row r="32" spans="2:257" ht="20" customHeight="1" x14ac:dyDescent="0.2">
      <c r="B32" s="60">
        <v>84</v>
      </c>
      <c r="C32" s="167">
        <v>24</v>
      </c>
      <c r="D32" s="272">
        <v>68</v>
      </c>
      <c r="E32" s="167">
        <v>24</v>
      </c>
      <c r="F32" s="167">
        <v>24</v>
      </c>
      <c r="G32" s="272">
        <v>68</v>
      </c>
      <c r="H32" s="167">
        <v>24</v>
      </c>
      <c r="I32" s="167">
        <v>24</v>
      </c>
      <c r="J32" s="167">
        <v>24</v>
      </c>
      <c r="K32" s="272">
        <v>68</v>
      </c>
      <c r="L32" s="167">
        <v>24</v>
      </c>
      <c r="M32" s="64">
        <v>40</v>
      </c>
      <c r="N32" s="167">
        <v>24</v>
      </c>
      <c r="O32" s="64">
        <v>40</v>
      </c>
      <c r="P32" s="167">
        <v>24</v>
      </c>
      <c r="Q32" s="60">
        <v>84</v>
      </c>
      <c r="R32" s="268"/>
    </row>
    <row r="33" spans="2:257" ht="20" customHeight="1" x14ac:dyDescent="0.2">
      <c r="B33" s="60">
        <v>84</v>
      </c>
      <c r="C33" s="60">
        <v>84</v>
      </c>
      <c r="D33" s="272">
        <v>68</v>
      </c>
      <c r="E33" s="60">
        <v>84</v>
      </c>
      <c r="F33" s="60">
        <v>84</v>
      </c>
      <c r="G33" s="60">
        <v>84</v>
      </c>
      <c r="H33" s="60">
        <v>84</v>
      </c>
      <c r="I33" s="60">
        <v>84</v>
      </c>
      <c r="J33" s="60">
        <v>84</v>
      </c>
      <c r="K33" s="60">
        <v>84</v>
      </c>
      <c r="L33" s="60">
        <v>84</v>
      </c>
      <c r="M33" s="60">
        <v>84</v>
      </c>
      <c r="N33" s="60">
        <v>84</v>
      </c>
      <c r="O33" s="60">
        <v>84</v>
      </c>
      <c r="P33" s="60">
        <v>84</v>
      </c>
      <c r="Q33" s="60">
        <v>84</v>
      </c>
      <c r="R33" s="268"/>
    </row>
    <row r="34" spans="2:257" ht="20" customHeight="1" x14ac:dyDescent="0.2">
      <c r="B34" s="60">
        <v>84</v>
      </c>
      <c r="C34" s="57">
        <v>52</v>
      </c>
      <c r="D34" s="272">
        <v>68</v>
      </c>
      <c r="E34" s="57">
        <v>52</v>
      </c>
      <c r="F34" s="57">
        <v>52</v>
      </c>
      <c r="G34" s="272">
        <v>68</v>
      </c>
      <c r="H34" s="57">
        <v>52</v>
      </c>
      <c r="I34" s="57">
        <v>52</v>
      </c>
      <c r="J34" s="57">
        <v>52</v>
      </c>
      <c r="K34" s="272">
        <v>68</v>
      </c>
      <c r="L34" s="57">
        <v>52</v>
      </c>
      <c r="M34" s="57">
        <v>52</v>
      </c>
      <c r="N34" s="57">
        <v>52</v>
      </c>
      <c r="O34" s="57">
        <v>52</v>
      </c>
      <c r="P34" s="57">
        <v>52</v>
      </c>
      <c r="Q34" s="60">
        <v>84</v>
      </c>
      <c r="R34" s="268"/>
    </row>
    <row r="35" spans="2:257" ht="20" customHeight="1" x14ac:dyDescent="0.2">
      <c r="B35" s="60">
        <v>84</v>
      </c>
      <c r="C35" s="43">
        <v>0</v>
      </c>
      <c r="D35" s="272">
        <v>68</v>
      </c>
      <c r="E35" s="43">
        <v>0</v>
      </c>
      <c r="F35" s="43">
        <v>0</v>
      </c>
      <c r="G35" s="272">
        <v>68</v>
      </c>
      <c r="H35" s="43">
        <v>0</v>
      </c>
      <c r="I35" s="43">
        <v>0</v>
      </c>
      <c r="J35" s="43">
        <v>0</v>
      </c>
      <c r="K35" s="272">
        <v>68</v>
      </c>
      <c r="L35" s="43">
        <v>0</v>
      </c>
      <c r="M35" s="43">
        <v>0</v>
      </c>
      <c r="N35" s="43">
        <v>0</v>
      </c>
      <c r="O35" s="43">
        <v>0</v>
      </c>
      <c r="P35" s="43">
        <v>0</v>
      </c>
      <c r="Q35" s="60">
        <v>84</v>
      </c>
      <c r="R35" s="268"/>
    </row>
    <row r="36" spans="2:257" s="246" customFormat="1" ht="20" customHeight="1" x14ac:dyDescent="0.2">
      <c r="B36" s="60">
        <v>84</v>
      </c>
      <c r="C36" s="43">
        <v>0</v>
      </c>
      <c r="D36" s="272">
        <v>68</v>
      </c>
      <c r="E36" s="43">
        <v>0</v>
      </c>
      <c r="F36" s="43">
        <v>0</v>
      </c>
      <c r="G36" s="272">
        <v>68</v>
      </c>
      <c r="H36" s="43">
        <v>0</v>
      </c>
      <c r="I36" s="43">
        <v>0</v>
      </c>
      <c r="J36" s="43">
        <v>0</v>
      </c>
      <c r="K36" s="272">
        <v>68</v>
      </c>
      <c r="L36" s="43">
        <v>0</v>
      </c>
      <c r="M36" s="43">
        <v>0</v>
      </c>
      <c r="N36" s="43">
        <v>0</v>
      </c>
      <c r="O36" s="43">
        <v>0</v>
      </c>
      <c r="P36" s="43">
        <v>0</v>
      </c>
      <c r="Q36" s="60">
        <v>84</v>
      </c>
      <c r="R36" s="268"/>
      <c r="AG36" s="247"/>
      <c r="BM36" s="247"/>
      <c r="CC36" s="247"/>
      <c r="CS36" s="247"/>
      <c r="DI36" s="247"/>
      <c r="DY36" s="247"/>
      <c r="EO36" s="247"/>
      <c r="FE36" s="247"/>
      <c r="FU36" s="247"/>
      <c r="GK36" s="247"/>
      <c r="HA36" s="247"/>
      <c r="HQ36" s="247"/>
      <c r="IG36" s="247"/>
      <c r="IW36" s="247"/>
    </row>
    <row r="37" spans="2:257" ht="20" customHeight="1" x14ac:dyDescent="0.2">
      <c r="B37" s="60">
        <v>84</v>
      </c>
      <c r="C37" s="7">
        <v>117</v>
      </c>
      <c r="D37" s="272">
        <v>68</v>
      </c>
      <c r="E37" s="43">
        <v>0</v>
      </c>
      <c r="F37" s="43">
        <v>0</v>
      </c>
      <c r="G37" s="272">
        <v>68</v>
      </c>
      <c r="H37" s="43">
        <v>0</v>
      </c>
      <c r="I37" s="43">
        <v>0</v>
      </c>
      <c r="J37" s="43">
        <v>0</v>
      </c>
      <c r="K37" s="272">
        <v>68</v>
      </c>
      <c r="L37" s="43">
        <v>0</v>
      </c>
      <c r="M37" s="179">
        <v>25</v>
      </c>
      <c r="N37" s="43">
        <v>0</v>
      </c>
      <c r="O37" s="43">
        <v>0</v>
      </c>
      <c r="P37" s="7">
        <v>117</v>
      </c>
      <c r="Q37" s="60">
        <v>84</v>
      </c>
      <c r="R37" s="267">
        <v>13</v>
      </c>
    </row>
    <row r="38" spans="2:257" ht="20" customHeight="1" x14ac:dyDescent="0.2">
      <c r="B38" s="60">
        <v>84</v>
      </c>
      <c r="C38" s="43">
        <v>0</v>
      </c>
      <c r="D38" s="272">
        <v>68</v>
      </c>
      <c r="E38" s="43">
        <v>0</v>
      </c>
      <c r="F38" s="43">
        <v>0</v>
      </c>
      <c r="G38" s="272">
        <v>68</v>
      </c>
      <c r="H38" s="43">
        <v>0</v>
      </c>
      <c r="I38" s="2">
        <v>108</v>
      </c>
      <c r="J38" s="43">
        <v>0</v>
      </c>
      <c r="K38" s="272">
        <v>68</v>
      </c>
      <c r="L38" s="43">
        <v>0</v>
      </c>
      <c r="M38" s="43">
        <v>0</v>
      </c>
      <c r="N38" s="43">
        <v>0</v>
      </c>
      <c r="O38" s="43">
        <v>0</v>
      </c>
      <c r="P38" s="43">
        <v>0</v>
      </c>
      <c r="Q38" s="60">
        <v>84</v>
      </c>
      <c r="R38" s="268"/>
    </row>
    <row r="39" spans="2:257" ht="20" customHeight="1" x14ac:dyDescent="0.2">
      <c r="B39" s="60">
        <v>84</v>
      </c>
      <c r="C39" s="43">
        <v>0</v>
      </c>
      <c r="D39" s="272">
        <v>68</v>
      </c>
      <c r="E39" s="195">
        <v>26</v>
      </c>
      <c r="F39" s="43">
        <v>0</v>
      </c>
      <c r="G39" s="272">
        <v>68</v>
      </c>
      <c r="H39" s="43">
        <v>0</v>
      </c>
      <c r="I39" s="195">
        <v>26</v>
      </c>
      <c r="J39" s="291">
        <v>26</v>
      </c>
      <c r="K39" s="272">
        <v>68</v>
      </c>
      <c r="L39" s="43">
        <v>0</v>
      </c>
      <c r="M39" s="43">
        <v>0</v>
      </c>
      <c r="N39" s="195">
        <v>26</v>
      </c>
      <c r="O39" s="179">
        <v>25</v>
      </c>
      <c r="P39" s="43">
        <v>0</v>
      </c>
      <c r="Q39" s="60">
        <v>84</v>
      </c>
      <c r="R39" s="268"/>
    </row>
    <row r="40" spans="2:257" ht="20" customHeight="1" x14ac:dyDescent="0.2">
      <c r="B40" s="60">
        <v>84</v>
      </c>
      <c r="C40" s="43">
        <v>0</v>
      </c>
      <c r="D40" s="272">
        <v>68</v>
      </c>
      <c r="E40" s="43">
        <v>0</v>
      </c>
      <c r="F40" s="43">
        <v>0</v>
      </c>
      <c r="G40" s="272">
        <v>68</v>
      </c>
      <c r="H40" s="43">
        <v>0</v>
      </c>
      <c r="I40" s="43">
        <v>0</v>
      </c>
      <c r="J40" s="43">
        <v>0</v>
      </c>
      <c r="K40" s="272">
        <v>68</v>
      </c>
      <c r="L40" s="43">
        <v>0</v>
      </c>
      <c r="M40" s="43">
        <v>0</v>
      </c>
      <c r="N40" s="43">
        <v>0</v>
      </c>
      <c r="O40" s="43">
        <v>0</v>
      </c>
      <c r="P40" s="43">
        <v>0</v>
      </c>
      <c r="Q40" s="60">
        <v>84</v>
      </c>
      <c r="R40" s="268"/>
    </row>
    <row r="41" spans="2:257" ht="20" customHeight="1" x14ac:dyDescent="0.2">
      <c r="B41" s="60">
        <v>84</v>
      </c>
      <c r="C41" s="43">
        <v>0</v>
      </c>
      <c r="D41" s="272">
        <v>68</v>
      </c>
      <c r="E41" s="43">
        <v>0</v>
      </c>
      <c r="F41" s="43">
        <v>0</v>
      </c>
      <c r="G41" s="272">
        <v>68</v>
      </c>
      <c r="H41" s="43">
        <v>0</v>
      </c>
      <c r="I41" s="43">
        <v>0</v>
      </c>
      <c r="J41" s="43">
        <v>0</v>
      </c>
      <c r="K41" s="272">
        <v>68</v>
      </c>
      <c r="L41" s="43">
        <v>0</v>
      </c>
      <c r="M41" s="43">
        <v>0</v>
      </c>
      <c r="N41" s="43">
        <v>0</v>
      </c>
      <c r="O41" s="43">
        <v>0</v>
      </c>
      <c r="P41" s="64">
        <v>40</v>
      </c>
      <c r="Q41" s="60">
        <v>84</v>
      </c>
      <c r="R41" s="268"/>
    </row>
    <row r="42" spans="2:257" ht="20" customHeight="1" x14ac:dyDescent="0.2">
      <c r="B42" s="60">
        <v>84</v>
      </c>
      <c r="C42" s="43">
        <v>0</v>
      </c>
      <c r="D42" s="272">
        <v>68</v>
      </c>
      <c r="E42" s="43">
        <v>0</v>
      </c>
      <c r="F42" s="43">
        <v>0</v>
      </c>
      <c r="G42" s="272">
        <v>68</v>
      </c>
      <c r="H42" s="43">
        <v>0</v>
      </c>
      <c r="I42" s="43">
        <v>0</v>
      </c>
      <c r="J42" s="43">
        <v>0</v>
      </c>
      <c r="K42" s="272">
        <v>68</v>
      </c>
      <c r="L42" s="43">
        <v>0</v>
      </c>
      <c r="M42" s="43">
        <v>0</v>
      </c>
      <c r="N42" s="64">
        <v>40</v>
      </c>
      <c r="O42" s="64">
        <v>40</v>
      </c>
      <c r="P42" s="55">
        <v>77</v>
      </c>
      <c r="Q42" s="60">
        <v>84</v>
      </c>
      <c r="R42" s="268"/>
    </row>
    <row r="43" spans="2:257" ht="20" customHeight="1" x14ac:dyDescent="0.2">
      <c r="B43" s="60">
        <v>84</v>
      </c>
      <c r="C43" s="43">
        <v>0</v>
      </c>
      <c r="D43" s="43">
        <v>0</v>
      </c>
      <c r="E43" s="43">
        <v>0</v>
      </c>
      <c r="F43" s="43">
        <v>0</v>
      </c>
      <c r="G43" s="272">
        <v>68</v>
      </c>
      <c r="H43" s="43">
        <v>0</v>
      </c>
      <c r="I43" s="179">
        <v>25</v>
      </c>
      <c r="J43" s="43">
        <v>0</v>
      </c>
      <c r="K43" s="272">
        <v>68</v>
      </c>
      <c r="L43" s="43">
        <v>0</v>
      </c>
      <c r="M43" s="64">
        <v>40</v>
      </c>
      <c r="N43" s="55">
        <v>77</v>
      </c>
      <c r="O43" s="55">
        <v>77</v>
      </c>
      <c r="P43" s="55">
        <v>77</v>
      </c>
      <c r="Q43" s="60">
        <v>84</v>
      </c>
      <c r="R43" s="268"/>
    </row>
    <row r="44" spans="2:257" ht="20" customHeight="1" x14ac:dyDescent="0.2">
      <c r="B44" s="60">
        <v>84</v>
      </c>
      <c r="C44" s="43">
        <v>0</v>
      </c>
      <c r="D44" s="64">
        <v>40</v>
      </c>
      <c r="E44" s="43">
        <v>0</v>
      </c>
      <c r="F44" s="179">
        <v>25</v>
      </c>
      <c r="G44" s="272">
        <v>68</v>
      </c>
      <c r="H44" s="43">
        <v>0</v>
      </c>
      <c r="I44" s="43">
        <v>0</v>
      </c>
      <c r="J44" s="43">
        <v>0</v>
      </c>
      <c r="K44" s="272">
        <v>68</v>
      </c>
      <c r="L44" s="64">
        <v>40</v>
      </c>
      <c r="M44" s="55">
        <v>77</v>
      </c>
      <c r="N44" s="55">
        <v>77</v>
      </c>
      <c r="O44" s="55">
        <v>77</v>
      </c>
      <c r="P44" s="55">
        <v>77</v>
      </c>
      <c r="Q44" s="60">
        <v>84</v>
      </c>
      <c r="R44" s="268"/>
    </row>
    <row r="45" spans="2:257" s="246" customFormat="1" ht="20" customHeight="1" x14ac:dyDescent="0.2">
      <c r="B45" s="60">
        <v>84</v>
      </c>
      <c r="C45" s="43">
        <v>0</v>
      </c>
      <c r="D45" s="64">
        <v>40</v>
      </c>
      <c r="E45" s="43">
        <v>0</v>
      </c>
      <c r="F45" s="43">
        <v>0</v>
      </c>
      <c r="G45" s="272">
        <v>68</v>
      </c>
      <c r="H45" s="43">
        <v>0</v>
      </c>
      <c r="I45" s="43">
        <v>0</v>
      </c>
      <c r="J45" s="43">
        <v>0</v>
      </c>
      <c r="K45" s="272">
        <v>68</v>
      </c>
      <c r="L45" s="55">
        <v>77</v>
      </c>
      <c r="M45" s="60">
        <v>84</v>
      </c>
      <c r="N45" s="60">
        <v>84</v>
      </c>
      <c r="O45" s="60">
        <v>84</v>
      </c>
      <c r="P45" s="60">
        <v>84</v>
      </c>
      <c r="Q45" s="60">
        <v>84</v>
      </c>
      <c r="R45" s="268"/>
      <c r="AG45" s="247"/>
      <c r="BM45" s="247"/>
      <c r="CC45" s="247"/>
      <c r="CS45" s="247"/>
      <c r="DI45" s="247"/>
      <c r="DY45" s="247"/>
      <c r="EO45" s="247"/>
      <c r="FE45" s="247"/>
      <c r="FU45" s="247"/>
      <c r="GK45" s="247"/>
      <c r="HA45" s="247"/>
      <c r="HQ45" s="247"/>
      <c r="IG45" s="247"/>
      <c r="IW45" s="247"/>
    </row>
    <row r="46" spans="2:257" ht="20" customHeight="1" x14ac:dyDescent="0.2">
      <c r="B46" s="60">
        <v>84</v>
      </c>
      <c r="C46" s="43">
        <v>0</v>
      </c>
      <c r="D46" s="64">
        <v>40</v>
      </c>
      <c r="E46" s="43">
        <v>0</v>
      </c>
      <c r="F46" s="43">
        <v>0</v>
      </c>
      <c r="G46" s="272">
        <v>68</v>
      </c>
      <c r="H46" s="43">
        <v>0</v>
      </c>
      <c r="I46" s="43">
        <v>0</v>
      </c>
      <c r="J46" s="43">
        <v>0</v>
      </c>
      <c r="K46" s="272">
        <v>68</v>
      </c>
      <c r="L46" s="55">
        <v>77</v>
      </c>
      <c r="M46" s="60">
        <v>84</v>
      </c>
      <c r="N46" s="60">
        <v>84</v>
      </c>
      <c r="O46" s="60">
        <v>84</v>
      </c>
      <c r="P46" s="60">
        <v>84</v>
      </c>
      <c r="Q46" s="60">
        <v>84</v>
      </c>
      <c r="R46" s="267">
        <v>12</v>
      </c>
    </row>
    <row r="47" spans="2:257" ht="20" customHeight="1" x14ac:dyDescent="0.2">
      <c r="B47" s="60">
        <v>84</v>
      </c>
      <c r="C47" s="43">
        <v>0</v>
      </c>
      <c r="D47" s="64">
        <v>40</v>
      </c>
      <c r="E47" s="43">
        <v>0</v>
      </c>
      <c r="F47" s="195">
        <v>26</v>
      </c>
      <c r="G47" s="43">
        <v>0</v>
      </c>
      <c r="H47" s="179">
        <v>25</v>
      </c>
      <c r="I47" s="43">
        <v>0</v>
      </c>
      <c r="J47" s="43">
        <v>0</v>
      </c>
      <c r="K47" s="272">
        <v>68</v>
      </c>
      <c r="L47" s="55">
        <v>77</v>
      </c>
      <c r="M47" s="60">
        <v>84</v>
      </c>
      <c r="N47" s="58">
        <v>28</v>
      </c>
      <c r="O47" s="64">
        <v>40</v>
      </c>
      <c r="P47" s="99">
        <v>27</v>
      </c>
      <c r="Q47" s="60">
        <v>84</v>
      </c>
      <c r="R47" s="268"/>
    </row>
    <row r="48" spans="2:257" ht="20" customHeight="1" x14ac:dyDescent="0.2">
      <c r="B48" s="60">
        <v>84</v>
      </c>
      <c r="C48" s="43">
        <v>0</v>
      </c>
      <c r="D48" s="64">
        <v>40</v>
      </c>
      <c r="E48" s="43">
        <v>0</v>
      </c>
      <c r="F48" s="43">
        <v>0</v>
      </c>
      <c r="G48" s="43">
        <v>0</v>
      </c>
      <c r="H48" s="43">
        <v>0</v>
      </c>
      <c r="I48" s="43">
        <v>0</v>
      </c>
      <c r="J48" s="43">
        <v>0</v>
      </c>
      <c r="K48" s="272">
        <v>68</v>
      </c>
      <c r="L48" s="55">
        <v>77</v>
      </c>
      <c r="M48" s="15">
        <v>75</v>
      </c>
      <c r="N48" s="64">
        <v>40</v>
      </c>
      <c r="O48" s="64">
        <v>40</v>
      </c>
      <c r="P48" s="64">
        <v>40</v>
      </c>
      <c r="Q48" s="60">
        <v>84</v>
      </c>
      <c r="R48" s="268"/>
    </row>
    <row r="49" spans="2:257" ht="20" customHeight="1" x14ac:dyDescent="0.2">
      <c r="B49" s="60">
        <v>84</v>
      </c>
      <c r="C49" s="43">
        <v>0</v>
      </c>
      <c r="D49" s="64">
        <v>40</v>
      </c>
      <c r="E49" s="43">
        <v>0</v>
      </c>
      <c r="F49" s="43">
        <v>0</v>
      </c>
      <c r="G49" s="43">
        <v>0</v>
      </c>
      <c r="H49" s="43">
        <v>0</v>
      </c>
      <c r="I49" s="43">
        <v>0</v>
      </c>
      <c r="J49" s="55">
        <v>77</v>
      </c>
      <c r="K49" s="272">
        <v>68</v>
      </c>
      <c r="L49" s="55">
        <v>77</v>
      </c>
      <c r="M49" s="60">
        <v>84</v>
      </c>
      <c r="N49" s="77">
        <v>45</v>
      </c>
      <c r="O49" s="64">
        <v>40</v>
      </c>
      <c r="P49" s="77">
        <v>46</v>
      </c>
      <c r="Q49" s="60">
        <v>84</v>
      </c>
      <c r="R49" s="268"/>
    </row>
    <row r="50" spans="2:257" ht="20" customHeight="1" x14ac:dyDescent="0.2">
      <c r="B50" s="60">
        <v>84</v>
      </c>
      <c r="C50" s="43">
        <v>0</v>
      </c>
      <c r="D50" s="15">
        <v>39</v>
      </c>
      <c r="E50" s="43">
        <v>0</v>
      </c>
      <c r="F50" s="43">
        <v>0</v>
      </c>
      <c r="G50" s="43">
        <v>0</v>
      </c>
      <c r="H50" s="43">
        <v>0</v>
      </c>
      <c r="I50" s="55">
        <v>77</v>
      </c>
      <c r="J50" s="55">
        <v>77</v>
      </c>
      <c r="K50" s="272">
        <v>68</v>
      </c>
      <c r="L50" s="55">
        <v>77</v>
      </c>
      <c r="M50" s="60">
        <v>84</v>
      </c>
      <c r="N50" s="60">
        <v>84</v>
      </c>
      <c r="O50" s="64">
        <v>40</v>
      </c>
      <c r="P50" s="60">
        <v>84</v>
      </c>
      <c r="Q50" s="60">
        <v>84</v>
      </c>
      <c r="R50" s="268"/>
    </row>
    <row r="51" spans="2:257" ht="20" customHeight="1" x14ac:dyDescent="0.2">
      <c r="B51" s="60">
        <v>84</v>
      </c>
      <c r="C51" s="43">
        <v>0</v>
      </c>
      <c r="D51" s="64">
        <v>40</v>
      </c>
      <c r="E51" s="58">
        <v>35</v>
      </c>
      <c r="F51" s="43">
        <v>0</v>
      </c>
      <c r="G51" s="43">
        <v>0</v>
      </c>
      <c r="H51" s="60">
        <v>84</v>
      </c>
      <c r="I51" s="60">
        <v>84</v>
      </c>
      <c r="J51" s="60">
        <v>84</v>
      </c>
      <c r="K51" s="272">
        <v>68</v>
      </c>
      <c r="L51" s="60">
        <v>84</v>
      </c>
      <c r="M51" s="60">
        <v>84</v>
      </c>
      <c r="N51" s="60">
        <v>84</v>
      </c>
      <c r="O51" s="60">
        <v>84</v>
      </c>
      <c r="P51" s="60">
        <v>84</v>
      </c>
      <c r="Q51" s="60">
        <v>84</v>
      </c>
      <c r="R51" s="268"/>
    </row>
    <row r="52" spans="2:257" ht="20" customHeight="1" x14ac:dyDescent="0.2">
      <c r="B52" s="60">
        <v>84</v>
      </c>
      <c r="C52" s="43">
        <v>0</v>
      </c>
      <c r="D52" s="64">
        <v>40</v>
      </c>
      <c r="E52" s="43">
        <v>0</v>
      </c>
      <c r="F52" s="43">
        <v>0</v>
      </c>
      <c r="G52" s="43">
        <v>0</v>
      </c>
      <c r="H52" s="272">
        <v>68</v>
      </c>
      <c r="I52" s="11">
        <v>113</v>
      </c>
      <c r="J52" s="43">
        <v>0</v>
      </c>
      <c r="K52" s="272">
        <v>68</v>
      </c>
      <c r="L52" s="43">
        <v>0</v>
      </c>
      <c r="M52" s="43">
        <v>0</v>
      </c>
      <c r="N52" s="58">
        <v>35</v>
      </c>
      <c r="O52" s="43">
        <v>0</v>
      </c>
      <c r="P52" s="99">
        <v>27</v>
      </c>
      <c r="Q52" s="60">
        <v>84</v>
      </c>
      <c r="R52" s="268"/>
    </row>
    <row r="53" spans="2:257" ht="20" customHeight="1" x14ac:dyDescent="0.2">
      <c r="B53" s="60">
        <v>84</v>
      </c>
      <c r="C53" s="43">
        <v>0</v>
      </c>
      <c r="D53" s="64">
        <v>40</v>
      </c>
      <c r="E53" s="195">
        <v>26</v>
      </c>
      <c r="F53" s="43">
        <v>0</v>
      </c>
      <c r="G53" s="43">
        <v>0</v>
      </c>
      <c r="H53" s="272">
        <v>68</v>
      </c>
      <c r="I53" s="43">
        <v>0</v>
      </c>
      <c r="J53" s="43">
        <v>0</v>
      </c>
      <c r="K53" s="272">
        <v>68</v>
      </c>
      <c r="L53" s="43">
        <v>0</v>
      </c>
      <c r="M53" s="43">
        <v>0</v>
      </c>
      <c r="N53" s="195">
        <v>26</v>
      </c>
      <c r="O53" s="43">
        <v>0</v>
      </c>
      <c r="P53" s="43">
        <v>0</v>
      </c>
      <c r="Q53" s="60">
        <v>84</v>
      </c>
      <c r="R53" s="268"/>
    </row>
    <row r="54" spans="2:257" s="246" customFormat="1" ht="20" customHeight="1" x14ac:dyDescent="0.2">
      <c r="B54" s="60">
        <v>84</v>
      </c>
      <c r="C54" s="43">
        <v>0</v>
      </c>
      <c r="D54" s="64">
        <v>40</v>
      </c>
      <c r="E54" s="58">
        <v>35</v>
      </c>
      <c r="F54" s="43">
        <v>0</v>
      </c>
      <c r="G54" s="43">
        <v>0</v>
      </c>
      <c r="H54" s="272">
        <v>68</v>
      </c>
      <c r="I54" s="11">
        <v>113</v>
      </c>
      <c r="J54" s="43">
        <v>0</v>
      </c>
      <c r="K54" s="272">
        <v>68</v>
      </c>
      <c r="L54" s="43">
        <v>0</v>
      </c>
      <c r="M54" s="43">
        <v>0</v>
      </c>
      <c r="N54" s="58">
        <v>35</v>
      </c>
      <c r="O54" s="43">
        <v>0</v>
      </c>
      <c r="P54" s="43">
        <v>0</v>
      </c>
      <c r="Q54" s="60">
        <v>84</v>
      </c>
      <c r="R54" s="268"/>
      <c r="AG54" s="247"/>
      <c r="BM54" s="247"/>
      <c r="CC54" s="247"/>
      <c r="CS54" s="247"/>
      <c r="DI54" s="247"/>
      <c r="DY54" s="247"/>
      <c r="EO54" s="247"/>
      <c r="FE54" s="247"/>
      <c r="FU54" s="247"/>
      <c r="GK54" s="247"/>
      <c r="HA54" s="247"/>
      <c r="HQ54" s="247"/>
      <c r="IG54" s="247"/>
      <c r="IW54" s="247"/>
    </row>
    <row r="55" spans="2:257" ht="20" customHeight="1" x14ac:dyDescent="0.2">
      <c r="B55" s="60">
        <v>84</v>
      </c>
      <c r="C55" s="2">
        <v>106</v>
      </c>
      <c r="D55" s="64">
        <v>40</v>
      </c>
      <c r="E55" s="195">
        <v>26</v>
      </c>
      <c r="F55" s="43">
        <v>0</v>
      </c>
      <c r="G55" s="43">
        <v>0</v>
      </c>
      <c r="H55" s="272">
        <v>68</v>
      </c>
      <c r="I55" s="43">
        <v>0</v>
      </c>
      <c r="J55" s="43">
        <v>0</v>
      </c>
      <c r="K55" s="272">
        <v>68</v>
      </c>
      <c r="L55" s="43">
        <v>0</v>
      </c>
      <c r="M55" s="43">
        <v>0</v>
      </c>
      <c r="N55" s="195">
        <v>26</v>
      </c>
      <c r="O55" s="43">
        <v>0</v>
      </c>
      <c r="P55" s="43">
        <v>0</v>
      </c>
      <c r="Q55" s="60">
        <v>84</v>
      </c>
      <c r="R55" s="267">
        <v>11</v>
      </c>
    </row>
    <row r="56" spans="2:257" ht="20" customHeight="1" x14ac:dyDescent="0.2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11">
        <v>113</v>
      </c>
      <c r="H56" s="272">
        <v>68</v>
      </c>
      <c r="I56" s="43">
        <v>0</v>
      </c>
      <c r="J56" s="43">
        <v>0</v>
      </c>
      <c r="K56" s="272">
        <v>68</v>
      </c>
      <c r="L56" s="43">
        <v>0</v>
      </c>
      <c r="M56" s="43">
        <v>0</v>
      </c>
      <c r="N56" s="58">
        <v>35</v>
      </c>
      <c r="O56" s="43">
        <v>0</v>
      </c>
      <c r="P56" s="43">
        <v>0</v>
      </c>
      <c r="Q56" s="60">
        <v>84</v>
      </c>
      <c r="R56" s="268"/>
    </row>
    <row r="57" spans="2:257" ht="20" customHeight="1" x14ac:dyDescent="0.2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72">
        <v>68</v>
      </c>
      <c r="I57" s="43">
        <v>0</v>
      </c>
      <c r="J57" s="43">
        <v>0</v>
      </c>
      <c r="K57" s="272">
        <v>68</v>
      </c>
      <c r="L57" s="43">
        <v>0</v>
      </c>
      <c r="M57" s="43">
        <v>0</v>
      </c>
      <c r="N57" s="43">
        <v>0</v>
      </c>
      <c r="O57" s="43">
        <v>0</v>
      </c>
      <c r="P57" s="43">
        <v>0</v>
      </c>
      <c r="Q57" s="60">
        <v>84</v>
      </c>
      <c r="R57" s="268"/>
    </row>
    <row r="58" spans="2:257" ht="20" customHeight="1" x14ac:dyDescent="0.2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72">
        <v>68</v>
      </c>
      <c r="I58" s="43">
        <v>0</v>
      </c>
      <c r="J58" s="43">
        <v>0</v>
      </c>
      <c r="K58" s="272">
        <v>68</v>
      </c>
      <c r="L58" s="43">
        <v>0</v>
      </c>
      <c r="M58" s="43">
        <v>0</v>
      </c>
      <c r="N58" s="43">
        <v>0</v>
      </c>
      <c r="O58" s="43">
        <v>0</v>
      </c>
      <c r="P58" s="43">
        <v>0</v>
      </c>
      <c r="Q58" s="60">
        <v>84</v>
      </c>
      <c r="R58" s="268"/>
    </row>
    <row r="59" spans="2:257" ht="20" customHeight="1" x14ac:dyDescent="0.2">
      <c r="B59" s="60">
        <v>84</v>
      </c>
      <c r="C59" s="43">
        <v>0</v>
      </c>
      <c r="D59" s="43">
        <v>0</v>
      </c>
      <c r="E59" s="43">
        <v>0</v>
      </c>
      <c r="F59" s="43">
        <v>0</v>
      </c>
      <c r="G59" s="43">
        <v>0</v>
      </c>
      <c r="H59" s="272">
        <v>68</v>
      </c>
      <c r="I59" s="43">
        <v>0</v>
      </c>
      <c r="J59" s="43">
        <v>0</v>
      </c>
      <c r="K59" s="43">
        <v>0</v>
      </c>
      <c r="L59" s="43">
        <v>0</v>
      </c>
      <c r="M59" s="43">
        <v>0</v>
      </c>
      <c r="N59" s="179">
        <v>25</v>
      </c>
      <c r="O59" s="43">
        <v>0</v>
      </c>
      <c r="P59" s="43">
        <v>0</v>
      </c>
      <c r="Q59" s="60">
        <v>84</v>
      </c>
      <c r="R59" s="268"/>
    </row>
    <row r="60" spans="2:257" ht="20" customHeight="1" x14ac:dyDescent="0.2">
      <c r="B60" s="60">
        <v>84</v>
      </c>
      <c r="C60" s="43">
        <v>0</v>
      </c>
      <c r="D60" s="43">
        <v>0</v>
      </c>
      <c r="E60" s="30">
        <v>99</v>
      </c>
      <c r="F60" s="64">
        <v>40</v>
      </c>
      <c r="G60" s="64">
        <v>40</v>
      </c>
      <c r="H60" s="64">
        <v>40</v>
      </c>
      <c r="I60" s="30">
        <v>98</v>
      </c>
      <c r="J60" s="43">
        <v>0</v>
      </c>
      <c r="K60" s="43">
        <v>0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68"/>
    </row>
    <row r="61" spans="2:257" ht="20" customHeight="1" x14ac:dyDescent="0.2">
      <c r="B61" s="60">
        <v>84</v>
      </c>
      <c r="C61" s="43">
        <v>0</v>
      </c>
      <c r="D61" s="43">
        <v>0</v>
      </c>
      <c r="E61" s="274">
        <v>58</v>
      </c>
      <c r="F61" s="272">
        <v>68</v>
      </c>
      <c r="G61" s="274">
        <v>58</v>
      </c>
      <c r="H61" s="274">
        <v>58</v>
      </c>
      <c r="I61" s="274">
        <v>58</v>
      </c>
      <c r="J61" s="43">
        <v>0</v>
      </c>
      <c r="K61" s="195">
        <v>26</v>
      </c>
      <c r="L61" s="43">
        <v>0</v>
      </c>
      <c r="M61" s="43">
        <v>0</v>
      </c>
      <c r="N61" s="43">
        <v>0</v>
      </c>
      <c r="O61" s="195">
        <v>26</v>
      </c>
      <c r="P61" s="43">
        <v>0</v>
      </c>
      <c r="Q61" s="60">
        <v>84</v>
      </c>
      <c r="R61" s="268"/>
    </row>
    <row r="62" spans="2:257" ht="20" customHeight="1" x14ac:dyDescent="0.2">
      <c r="B62" s="60">
        <v>84</v>
      </c>
      <c r="C62" s="43">
        <v>0</v>
      </c>
      <c r="D62" s="43">
        <v>0</v>
      </c>
      <c r="E62" s="43">
        <v>0</v>
      </c>
      <c r="F62" s="272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68"/>
    </row>
    <row r="63" spans="2:257" s="246" customFormat="1" ht="20" customHeight="1" x14ac:dyDescent="0.2">
      <c r="B63" s="60">
        <v>84</v>
      </c>
      <c r="C63" s="179">
        <v>25</v>
      </c>
      <c r="D63" s="64">
        <v>40</v>
      </c>
      <c r="E63" s="43">
        <v>0</v>
      </c>
      <c r="F63" s="272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68"/>
      <c r="AG63" s="247"/>
      <c r="BM63" s="247"/>
      <c r="CC63" s="247"/>
      <c r="CS63" s="247"/>
      <c r="DI63" s="247"/>
      <c r="DY63" s="247"/>
      <c r="EO63" s="247"/>
      <c r="FE63" s="247"/>
      <c r="FU63" s="247"/>
      <c r="GK63" s="247"/>
      <c r="HA63" s="247"/>
      <c r="HQ63" s="247"/>
      <c r="IG63" s="247"/>
      <c r="IW63" s="247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272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6">
        <v>114</v>
      </c>
      <c r="P64" s="9">
        <v>37</v>
      </c>
      <c r="Q64" s="60">
        <v>84</v>
      </c>
      <c r="R64" s="267">
        <v>10</v>
      </c>
    </row>
    <row r="65" spans="2:257" ht="20" customHeight="1" x14ac:dyDescent="0.2">
      <c r="B65" s="60">
        <v>84</v>
      </c>
      <c r="C65" s="43">
        <v>0</v>
      </c>
      <c r="D65" s="64">
        <v>40</v>
      </c>
      <c r="E65" s="43">
        <v>0</v>
      </c>
      <c r="F65" s="272">
        <v>68</v>
      </c>
      <c r="G65" s="43">
        <v>0</v>
      </c>
      <c r="H65" s="43">
        <v>0</v>
      </c>
      <c r="J65" s="43">
        <v>0</v>
      </c>
      <c r="K65" s="43">
        <v>0</v>
      </c>
      <c r="L65" s="136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68"/>
    </row>
    <row r="66" spans="2:257" ht="20" customHeight="1" x14ac:dyDescent="0.2">
      <c r="B66" s="60">
        <v>84</v>
      </c>
      <c r="C66" s="43">
        <v>0</v>
      </c>
      <c r="D66" s="290">
        <v>62</v>
      </c>
      <c r="E66" s="43">
        <v>0</v>
      </c>
      <c r="F66" s="272">
        <v>68</v>
      </c>
      <c r="G66" s="60">
        <v>84</v>
      </c>
      <c r="H66" s="274">
        <v>58</v>
      </c>
      <c r="I66" s="136">
        <v>114</v>
      </c>
      <c r="J66" s="279">
        <v>59</v>
      </c>
      <c r="K66" s="43">
        <v>0</v>
      </c>
      <c r="L66" s="43">
        <v>0</v>
      </c>
      <c r="M66" s="279">
        <v>59</v>
      </c>
      <c r="N66" s="43">
        <v>0</v>
      </c>
      <c r="O66" s="43">
        <v>0</v>
      </c>
      <c r="P66" s="279">
        <v>59</v>
      </c>
      <c r="Q66" s="60">
        <v>84</v>
      </c>
      <c r="R66" s="268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72">
        <v>68</v>
      </c>
      <c r="G67" s="60">
        <v>84</v>
      </c>
      <c r="H67" s="273">
        <v>50</v>
      </c>
      <c r="I67" s="273">
        <v>50</v>
      </c>
      <c r="J67" s="273">
        <v>50</v>
      </c>
      <c r="K67" s="273">
        <v>50</v>
      </c>
      <c r="L67" s="273">
        <v>50</v>
      </c>
      <c r="M67" s="273">
        <v>50</v>
      </c>
      <c r="N67" s="273">
        <v>50</v>
      </c>
      <c r="O67" s="273">
        <v>50</v>
      </c>
      <c r="P67" s="273">
        <v>50</v>
      </c>
      <c r="Q67" s="60">
        <v>84</v>
      </c>
      <c r="R67" s="268"/>
    </row>
    <row r="68" spans="2:257" ht="20" customHeight="1" x14ac:dyDescent="0.2">
      <c r="B68" s="60">
        <v>84</v>
      </c>
      <c r="C68" s="43">
        <v>0</v>
      </c>
      <c r="D68" s="43">
        <v>0</v>
      </c>
      <c r="E68" s="179">
        <v>25</v>
      </c>
      <c r="F68" s="272">
        <v>68</v>
      </c>
      <c r="G68" s="60">
        <v>84</v>
      </c>
      <c r="H68" s="273">
        <v>51</v>
      </c>
      <c r="I68" s="273">
        <v>51</v>
      </c>
      <c r="J68" s="273">
        <v>51</v>
      </c>
      <c r="K68" s="273">
        <v>51</v>
      </c>
      <c r="L68" s="273">
        <v>51</v>
      </c>
      <c r="M68" s="273">
        <v>51</v>
      </c>
      <c r="N68" s="273">
        <v>51</v>
      </c>
      <c r="O68" s="273">
        <v>51</v>
      </c>
      <c r="P68" s="273">
        <v>51</v>
      </c>
      <c r="Q68" s="60">
        <v>84</v>
      </c>
      <c r="R68" s="268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72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68"/>
    </row>
    <row r="70" spans="2:257" ht="20" customHeight="1" x14ac:dyDescent="0.2">
      <c r="B70" s="60">
        <v>84</v>
      </c>
      <c r="C70" s="57">
        <v>53</v>
      </c>
      <c r="D70" s="57">
        <v>53</v>
      </c>
      <c r="E70" s="57">
        <v>53</v>
      </c>
      <c r="F70" s="272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43">
        <v>0</v>
      </c>
      <c r="P70" s="99">
        <v>27</v>
      </c>
      <c r="Q70" s="60">
        <v>84</v>
      </c>
      <c r="R70" s="268"/>
    </row>
    <row r="71" spans="2:257" ht="20" customHeight="1" x14ac:dyDescent="0.2">
      <c r="B71" s="60">
        <v>84</v>
      </c>
      <c r="C71" s="60">
        <v>84</v>
      </c>
      <c r="D71" s="274">
        <v>58</v>
      </c>
      <c r="E71" s="274">
        <v>58</v>
      </c>
      <c r="F71" s="272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43">
        <v>0</v>
      </c>
      <c r="P71" s="43">
        <v>0</v>
      </c>
      <c r="Q71" s="60">
        <v>84</v>
      </c>
      <c r="R71" s="268"/>
    </row>
    <row r="72" spans="2:257" s="246" customFormat="1" ht="20" customHeight="1" x14ac:dyDescent="0.2">
      <c r="B72" s="60">
        <v>84</v>
      </c>
      <c r="C72" s="58">
        <v>28</v>
      </c>
      <c r="D72" s="43">
        <v>0</v>
      </c>
      <c r="E72" s="43">
        <v>0</v>
      </c>
      <c r="F72" s="272">
        <v>68</v>
      </c>
      <c r="G72" s="43">
        <v>0</v>
      </c>
      <c r="H72" s="275">
        <v>62</v>
      </c>
      <c r="I72" s="43">
        <v>0</v>
      </c>
      <c r="J72" s="43">
        <v>0</v>
      </c>
      <c r="K72" s="274">
        <v>58</v>
      </c>
      <c r="L72" s="274">
        <v>58</v>
      </c>
      <c r="M72" s="43">
        <v>0</v>
      </c>
      <c r="N72" s="179">
        <v>25</v>
      </c>
      <c r="O72" s="43">
        <v>0</v>
      </c>
      <c r="P72" s="43">
        <v>0</v>
      </c>
      <c r="Q72" s="60">
        <v>84</v>
      </c>
      <c r="R72" s="268"/>
      <c r="AG72" s="247"/>
      <c r="BM72" s="247"/>
      <c r="CC72" s="247"/>
      <c r="CS72" s="247"/>
      <c r="DI72" s="247"/>
      <c r="DY72" s="247"/>
      <c r="EO72" s="247"/>
      <c r="FE72" s="247"/>
      <c r="FU72" s="247"/>
      <c r="GK72" s="247"/>
      <c r="HA72" s="247"/>
      <c r="HQ72" s="247"/>
      <c r="IG72" s="247"/>
      <c r="IW72" s="247"/>
    </row>
    <row r="73" spans="2:257" ht="20" customHeight="1" x14ac:dyDescent="0.2">
      <c r="B73" s="60">
        <v>84</v>
      </c>
      <c r="C73" s="43">
        <v>0</v>
      </c>
      <c r="D73" s="149">
        <v>126</v>
      </c>
      <c r="E73" s="43">
        <v>0</v>
      </c>
      <c r="F73" s="272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43">
        <v>0</v>
      </c>
      <c r="P73" s="43">
        <v>0</v>
      </c>
      <c r="Q73" s="60">
        <v>84</v>
      </c>
      <c r="R73" s="267">
        <v>9</v>
      </c>
    </row>
    <row r="74" spans="2:257" ht="20" customHeight="1" x14ac:dyDescent="0.2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9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76">
        <v>104</v>
      </c>
      <c r="Q74" s="60">
        <v>84</v>
      </c>
      <c r="R74" s="268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179">
        <v>25</v>
      </c>
      <c r="G75" s="43">
        <v>0</v>
      </c>
      <c r="H75" s="43">
        <v>0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74">
        <v>58</v>
      </c>
      <c r="O75" s="274">
        <v>58</v>
      </c>
      <c r="P75" s="274">
        <v>58</v>
      </c>
      <c r="Q75" s="60">
        <v>84</v>
      </c>
      <c r="R75" s="268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43">
        <v>0</v>
      </c>
      <c r="J76" s="43">
        <v>0</v>
      </c>
      <c r="K76" s="274">
        <v>58</v>
      </c>
      <c r="L76" s="274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68"/>
    </row>
    <row r="77" spans="2:257" ht="20" customHeight="1" x14ac:dyDescent="0.2">
      <c r="B77" s="60">
        <v>84</v>
      </c>
      <c r="C77" s="274">
        <v>58</v>
      </c>
      <c r="D77" s="274">
        <v>58</v>
      </c>
      <c r="E77" s="60">
        <v>84</v>
      </c>
      <c r="F77" s="43">
        <v>0</v>
      </c>
      <c r="G77" s="43">
        <v>0</v>
      </c>
      <c r="H77" s="275">
        <v>62</v>
      </c>
      <c r="I77" s="43">
        <v>0</v>
      </c>
      <c r="J77" s="43">
        <v>0</v>
      </c>
      <c r="K77" s="270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68"/>
    </row>
    <row r="78" spans="2:257" ht="20" customHeight="1" x14ac:dyDescent="0.2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9">
        <v>25</v>
      </c>
      <c r="N78" s="43">
        <v>0</v>
      </c>
      <c r="O78" s="196">
        <v>122</v>
      </c>
      <c r="P78" s="43">
        <v>0</v>
      </c>
      <c r="Q78" s="60">
        <v>84</v>
      </c>
      <c r="R78" s="268"/>
    </row>
    <row r="79" spans="2:257" ht="20" customHeight="1" x14ac:dyDescent="0.2">
      <c r="B79" s="60">
        <v>84</v>
      </c>
      <c r="C79" s="274">
        <v>58</v>
      </c>
      <c r="D79" s="274">
        <v>58</v>
      </c>
      <c r="E79" s="274">
        <v>58</v>
      </c>
      <c r="F79" s="274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200">
        <v>90</v>
      </c>
      <c r="P79" s="43">
        <v>0</v>
      </c>
      <c r="Q79" s="60">
        <v>84</v>
      </c>
      <c r="R79" s="268"/>
    </row>
    <row r="80" spans="2:257" ht="20" customHeight="1" x14ac:dyDescent="0.2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75">
        <v>62</v>
      </c>
      <c r="I80" s="43">
        <v>0</v>
      </c>
      <c r="J80" s="43">
        <v>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68"/>
    </row>
    <row r="81" spans="2:257" s="246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43">
        <v>0</v>
      </c>
      <c r="K81" s="60">
        <v>84</v>
      </c>
      <c r="L81" s="60">
        <v>84</v>
      </c>
      <c r="M81" s="43">
        <v>0</v>
      </c>
      <c r="N81" s="192">
        <v>63</v>
      </c>
      <c r="O81" s="192">
        <v>63</v>
      </c>
      <c r="P81" s="192">
        <v>63</v>
      </c>
      <c r="Q81" s="60">
        <v>84</v>
      </c>
      <c r="R81" s="268"/>
      <c r="AG81" s="247"/>
      <c r="BM81" s="247"/>
      <c r="CC81" s="247"/>
      <c r="CS81" s="247"/>
      <c r="DI81" s="247"/>
      <c r="DY81" s="247"/>
      <c r="EO81" s="247"/>
      <c r="FE81" s="247"/>
      <c r="FU81" s="247"/>
      <c r="GK81" s="247"/>
      <c r="HA81" s="247"/>
      <c r="HQ81" s="247"/>
      <c r="IG81" s="247"/>
      <c r="IW81" s="247"/>
    </row>
    <row r="82" spans="2:257" ht="20" customHeight="1" x14ac:dyDescent="0.2">
      <c r="B82" s="60">
        <v>84</v>
      </c>
      <c r="C82" s="2">
        <v>107</v>
      </c>
      <c r="D82" s="195">
        <v>26</v>
      </c>
      <c r="E82" s="43">
        <v>0</v>
      </c>
      <c r="F82" s="195">
        <v>26</v>
      </c>
      <c r="G82" s="43">
        <v>0</v>
      </c>
      <c r="H82" s="43">
        <v>0</v>
      </c>
      <c r="I82" s="179">
        <v>25</v>
      </c>
      <c r="J82" s="43">
        <v>0</v>
      </c>
      <c r="K82" s="43">
        <v>0</v>
      </c>
      <c r="L82" s="270">
        <v>118</v>
      </c>
      <c r="M82" s="43">
        <v>0</v>
      </c>
      <c r="N82" s="64">
        <v>40</v>
      </c>
      <c r="O82" s="43">
        <v>0</v>
      </c>
      <c r="P82" s="276">
        <v>104</v>
      </c>
      <c r="Q82" s="60">
        <v>84</v>
      </c>
      <c r="R82" s="267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43">
        <v>0</v>
      </c>
      <c r="H83" s="43">
        <v>0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74">
        <v>58</v>
      </c>
      <c r="O83" s="274">
        <v>58</v>
      </c>
      <c r="P83" s="274">
        <v>58</v>
      </c>
      <c r="Q83" s="60">
        <v>84</v>
      </c>
      <c r="R83" s="268"/>
    </row>
    <row r="84" spans="2:257" ht="20" customHeight="1" x14ac:dyDescent="0.2">
      <c r="B84" s="60">
        <v>84</v>
      </c>
      <c r="C84" s="43">
        <v>0</v>
      </c>
      <c r="D84" s="179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43">
        <v>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68"/>
    </row>
    <row r="85" spans="2:257" ht="20" customHeight="1" x14ac:dyDescent="0.2">
      <c r="B85" s="60">
        <v>84</v>
      </c>
      <c r="C85" s="43">
        <v>0</v>
      </c>
      <c r="D85" s="43">
        <v>0</v>
      </c>
      <c r="E85" s="43">
        <v>0</v>
      </c>
      <c r="F85" s="179">
        <v>25</v>
      </c>
      <c r="G85" s="43">
        <v>0</v>
      </c>
      <c r="H85" s="64">
        <v>40</v>
      </c>
      <c r="I85" s="43">
        <v>0</v>
      </c>
      <c r="J85" s="274">
        <v>58</v>
      </c>
      <c r="K85" s="274">
        <v>58</v>
      </c>
      <c r="L85" s="275">
        <v>62</v>
      </c>
      <c r="M85" s="43">
        <v>0</v>
      </c>
      <c r="N85" s="43">
        <v>0</v>
      </c>
      <c r="O85" s="179">
        <v>25</v>
      </c>
      <c r="P85" s="43">
        <v>0</v>
      </c>
      <c r="Q85" s="60">
        <v>84</v>
      </c>
      <c r="R85" s="268"/>
    </row>
    <row r="86" spans="2:257" ht="20" customHeight="1" x14ac:dyDescent="0.2">
      <c r="B86" s="60">
        <v>84</v>
      </c>
      <c r="C86" s="64">
        <v>40</v>
      </c>
      <c r="D86" s="64">
        <v>40</v>
      </c>
      <c r="E86" s="64">
        <v>40</v>
      </c>
      <c r="F86" s="43">
        <v>0</v>
      </c>
      <c r="G86" s="43">
        <v>0</v>
      </c>
      <c r="H86" s="275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68"/>
    </row>
    <row r="87" spans="2:257" ht="20" customHeight="1" x14ac:dyDescent="0.2">
      <c r="B87" s="60">
        <v>84</v>
      </c>
      <c r="C87" s="25">
        <v>71</v>
      </c>
      <c r="D87" s="274">
        <v>58</v>
      </c>
      <c r="E87" s="274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74">
        <v>58</v>
      </c>
      <c r="O87" s="274">
        <v>58</v>
      </c>
      <c r="P87" s="25">
        <v>71</v>
      </c>
      <c r="Q87" s="60">
        <v>84</v>
      </c>
      <c r="R87" s="268"/>
    </row>
    <row r="88" spans="2:257" ht="20" customHeight="1" x14ac:dyDescent="0.2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68"/>
    </row>
    <row r="89" spans="2:257" ht="20" customHeight="1" x14ac:dyDescent="0.2">
      <c r="B89" s="60">
        <v>84</v>
      </c>
      <c r="C89" s="25">
        <v>71</v>
      </c>
      <c r="D89" s="277">
        <v>55</v>
      </c>
      <c r="E89" s="277">
        <v>55</v>
      </c>
      <c r="F89" s="277">
        <v>55</v>
      </c>
      <c r="G89" s="277">
        <v>55</v>
      </c>
      <c r="H89" s="277">
        <v>55</v>
      </c>
      <c r="I89" s="277">
        <v>55</v>
      </c>
      <c r="J89" s="277">
        <v>55</v>
      </c>
      <c r="K89" s="277">
        <v>55</v>
      </c>
      <c r="L89" s="277">
        <v>55</v>
      </c>
      <c r="M89" s="277">
        <v>55</v>
      </c>
      <c r="N89" s="277">
        <v>55</v>
      </c>
      <c r="O89" s="277">
        <v>55</v>
      </c>
      <c r="P89" s="25">
        <v>71</v>
      </c>
      <c r="Q89" s="60">
        <v>84</v>
      </c>
      <c r="R89" s="268"/>
    </row>
    <row r="90" spans="2:257" s="246" customFormat="1" ht="20" customHeight="1" x14ac:dyDescent="0.2"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68"/>
      <c r="AG90" s="247"/>
      <c r="BM90" s="247"/>
      <c r="CC90" s="247"/>
      <c r="CS90" s="247"/>
      <c r="DI90" s="247"/>
      <c r="DY90" s="247"/>
      <c r="EO90" s="247"/>
      <c r="FE90" s="247"/>
      <c r="FU90" s="247"/>
      <c r="GK90" s="247"/>
      <c r="HA90" s="247"/>
      <c r="HQ90" s="247"/>
      <c r="IG90" s="247"/>
      <c r="IW90" s="247"/>
    </row>
    <row r="91" spans="2:257" ht="20" customHeight="1" x14ac:dyDescent="0.2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67">
        <v>7</v>
      </c>
    </row>
    <row r="92" spans="2:257" ht="20" customHeight="1" x14ac:dyDescent="0.2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9">
        <v>25</v>
      </c>
      <c r="O92" s="43">
        <v>0</v>
      </c>
      <c r="P92" s="25">
        <v>71</v>
      </c>
      <c r="Q92" s="60">
        <v>84</v>
      </c>
      <c r="R92" s="268"/>
    </row>
    <row r="93" spans="2:257" ht="20" customHeight="1" x14ac:dyDescent="0.2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61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68"/>
    </row>
    <row r="94" spans="2:257" ht="20" customHeight="1" x14ac:dyDescent="0.2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61">
        <v>79</v>
      </c>
      <c r="I94" s="161">
        <v>79</v>
      </c>
      <c r="J94" s="43">
        <v>0</v>
      </c>
      <c r="K94" s="161">
        <v>79</v>
      </c>
      <c r="L94" s="161">
        <v>79</v>
      </c>
      <c r="M94" s="161">
        <v>79</v>
      </c>
      <c r="N94" s="43">
        <v>0</v>
      </c>
      <c r="O94" s="43">
        <v>0</v>
      </c>
      <c r="P94" s="25">
        <v>71</v>
      </c>
      <c r="Q94" s="60">
        <v>84</v>
      </c>
      <c r="R94" s="268"/>
    </row>
    <row r="95" spans="2:257" ht="20" customHeight="1" x14ac:dyDescent="0.2">
      <c r="B95" s="60">
        <v>84</v>
      </c>
      <c r="C95" s="25">
        <v>71</v>
      </c>
      <c r="D95" s="43">
        <v>0</v>
      </c>
      <c r="E95" s="161">
        <v>79</v>
      </c>
      <c r="F95" s="161">
        <v>79</v>
      </c>
      <c r="G95" s="64">
        <v>40</v>
      </c>
      <c r="H95" s="64">
        <v>40</v>
      </c>
      <c r="I95" s="161">
        <v>79</v>
      </c>
      <c r="J95" s="161">
        <v>79</v>
      </c>
      <c r="K95" s="43">
        <v>0</v>
      </c>
      <c r="L95" s="161">
        <v>79</v>
      </c>
      <c r="M95" s="161">
        <v>79</v>
      </c>
      <c r="N95" s="43">
        <v>0</v>
      </c>
      <c r="O95" s="43">
        <v>0</v>
      </c>
      <c r="P95" s="25">
        <v>71</v>
      </c>
      <c r="Q95" s="60">
        <v>84</v>
      </c>
      <c r="R95" s="268"/>
    </row>
    <row r="96" spans="2:257" ht="20" customHeight="1" x14ac:dyDescent="0.2">
      <c r="B96" s="60">
        <v>84</v>
      </c>
      <c r="C96" s="25">
        <v>71</v>
      </c>
      <c r="D96" s="43">
        <v>0</v>
      </c>
      <c r="E96" s="43">
        <v>0</v>
      </c>
      <c r="F96" s="161">
        <v>79</v>
      </c>
      <c r="G96" s="161">
        <v>79</v>
      </c>
      <c r="H96" s="161">
        <v>79</v>
      </c>
      <c r="I96" s="161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68"/>
    </row>
    <row r="97" spans="2:257" ht="20" customHeight="1" x14ac:dyDescent="0.2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61">
        <v>79</v>
      </c>
      <c r="H97" s="161">
        <v>79</v>
      </c>
      <c r="I97" s="161">
        <v>79</v>
      </c>
      <c r="J97" s="161">
        <v>79</v>
      </c>
      <c r="K97" s="161">
        <v>79</v>
      </c>
      <c r="L97" s="161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68"/>
    </row>
    <row r="98" spans="2:257" ht="20" customHeight="1" x14ac:dyDescent="0.2">
      <c r="B98" s="60">
        <v>84</v>
      </c>
      <c r="C98" s="25">
        <v>71</v>
      </c>
      <c r="D98" s="43">
        <v>0</v>
      </c>
      <c r="E98" s="179">
        <v>25</v>
      </c>
      <c r="F98" s="43">
        <v>0</v>
      </c>
      <c r="G98" s="43">
        <v>0</v>
      </c>
      <c r="H98" s="161">
        <v>79</v>
      </c>
      <c r="I98" s="161">
        <v>79</v>
      </c>
      <c r="J98" s="161">
        <v>79</v>
      </c>
      <c r="K98" s="43">
        <v>0</v>
      </c>
      <c r="L98" s="43">
        <v>0</v>
      </c>
      <c r="M98" s="43">
        <v>0</v>
      </c>
      <c r="N98" s="179">
        <v>25</v>
      </c>
      <c r="O98" s="43">
        <v>0</v>
      </c>
      <c r="P98" s="25">
        <v>71</v>
      </c>
      <c r="Q98" s="60">
        <v>84</v>
      </c>
      <c r="R98" s="268"/>
    </row>
    <row r="99" spans="2:257" s="246" customFormat="1" ht="20" customHeight="1" x14ac:dyDescent="0.2"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68"/>
      <c r="AG99" s="247"/>
      <c r="BM99" s="247"/>
      <c r="CC99" s="247"/>
      <c r="CS99" s="247"/>
      <c r="DI99" s="247"/>
      <c r="DY99" s="247"/>
      <c r="EO99" s="247"/>
      <c r="FE99" s="247"/>
      <c r="FU99" s="247"/>
      <c r="GK99" s="247"/>
      <c r="HA99" s="247"/>
      <c r="HQ99" s="247"/>
      <c r="IG99" s="247"/>
      <c r="IW99" s="247"/>
    </row>
    <row r="100" spans="2:257" ht="20" customHeight="1" x14ac:dyDescent="0.2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67">
        <v>6</v>
      </c>
    </row>
    <row r="101" spans="2:257" ht="20" customHeight="1" x14ac:dyDescent="0.2">
      <c r="B101" s="60">
        <v>84</v>
      </c>
      <c r="C101" s="25">
        <v>71</v>
      </c>
      <c r="D101" s="43">
        <v>0</v>
      </c>
      <c r="E101" s="43">
        <v>0</v>
      </c>
      <c r="F101" s="195">
        <v>26</v>
      </c>
      <c r="G101" s="43">
        <v>0</v>
      </c>
      <c r="H101" s="43">
        <v>0</v>
      </c>
      <c r="I101" s="196">
        <v>122</v>
      </c>
      <c r="J101" s="196">
        <v>122</v>
      </c>
      <c r="K101" s="43">
        <v>0</v>
      </c>
      <c r="L101" s="43">
        <v>0</v>
      </c>
      <c r="M101" s="195">
        <v>26</v>
      </c>
      <c r="N101" s="43">
        <v>0</v>
      </c>
      <c r="O101" s="43">
        <v>0</v>
      </c>
      <c r="P101" s="25">
        <v>71</v>
      </c>
      <c r="Q101" s="60">
        <v>84</v>
      </c>
      <c r="R101" s="268"/>
    </row>
    <row r="102" spans="2:257" ht="20" customHeight="1" x14ac:dyDescent="0.2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200">
        <v>90</v>
      </c>
      <c r="J102" s="200">
        <v>90</v>
      </c>
      <c r="K102" s="43">
        <v>0</v>
      </c>
      <c r="L102" s="43">
        <v>0</v>
      </c>
      <c r="M102" s="43">
        <v>0</v>
      </c>
      <c r="N102" s="43">
        <v>0</v>
      </c>
      <c r="O102" s="278">
        <v>47</v>
      </c>
      <c r="P102" s="25">
        <v>71</v>
      </c>
      <c r="Q102" s="60">
        <v>84</v>
      </c>
      <c r="R102" s="268"/>
    </row>
    <row r="103" spans="2:257" ht="20" customHeight="1" x14ac:dyDescent="0.2">
      <c r="B103" s="60">
        <v>84</v>
      </c>
      <c r="C103" s="25">
        <v>71</v>
      </c>
      <c r="D103" s="279">
        <v>59</v>
      </c>
      <c r="E103" s="279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79">
        <v>59</v>
      </c>
      <c r="O103" s="279">
        <v>59</v>
      </c>
      <c r="P103" s="25">
        <v>71</v>
      </c>
      <c r="Q103" s="60">
        <v>84</v>
      </c>
      <c r="R103" s="268"/>
    </row>
    <row r="104" spans="2:257" ht="20" customHeight="1" x14ac:dyDescent="0.2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43">
        <v>0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68"/>
    </row>
    <row r="105" spans="2:257" ht="20" customHeight="1" x14ac:dyDescent="0.2">
      <c r="B105" s="60">
        <v>84</v>
      </c>
      <c r="C105" s="25">
        <v>71</v>
      </c>
      <c r="D105" s="43">
        <v>0</v>
      </c>
      <c r="E105" s="43">
        <v>0</v>
      </c>
      <c r="F105" s="279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68"/>
    </row>
    <row r="106" spans="2:257" ht="20" customHeight="1" x14ac:dyDescent="0.2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80">
        <v>69</v>
      </c>
      <c r="J106" s="280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68"/>
    </row>
    <row r="107" spans="2:257" ht="20" customHeight="1" x14ac:dyDescent="0.2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80">
        <v>69</v>
      </c>
      <c r="J107" s="280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68"/>
    </row>
    <row r="108" spans="2:257" s="246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80">
        <v>69</v>
      </c>
      <c r="J108" s="280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68"/>
      <c r="AG108" s="247"/>
      <c r="BM108" s="247"/>
      <c r="CC108" s="247"/>
      <c r="CS108" s="247"/>
      <c r="DI108" s="247"/>
      <c r="DY108" s="247"/>
      <c r="EO108" s="247"/>
      <c r="FE108" s="247"/>
      <c r="FU108" s="247"/>
      <c r="GK108" s="247"/>
      <c r="HA108" s="247"/>
      <c r="HQ108" s="247"/>
      <c r="IG108" s="247"/>
      <c r="IW108" s="247"/>
    </row>
    <row r="109" spans="2:257" ht="20" customHeight="1" x14ac:dyDescent="0.2">
      <c r="B109" s="150">
        <v>13</v>
      </c>
      <c r="C109" s="150">
        <v>13</v>
      </c>
      <c r="D109" s="150">
        <v>13</v>
      </c>
      <c r="E109" s="150">
        <v>13</v>
      </c>
      <c r="F109" s="60">
        <v>84</v>
      </c>
      <c r="G109" s="60">
        <v>84</v>
      </c>
      <c r="H109" s="60">
        <v>84</v>
      </c>
      <c r="I109" s="280">
        <v>69</v>
      </c>
      <c r="J109" s="280">
        <v>69</v>
      </c>
      <c r="K109" s="60">
        <v>84</v>
      </c>
      <c r="L109" s="60">
        <v>84</v>
      </c>
      <c r="M109" s="60">
        <v>84</v>
      </c>
      <c r="N109" s="150">
        <v>13</v>
      </c>
      <c r="O109" s="150">
        <v>13</v>
      </c>
      <c r="P109" s="150">
        <v>13</v>
      </c>
      <c r="Q109" s="150">
        <v>13</v>
      </c>
      <c r="R109" s="267">
        <v>5</v>
      </c>
    </row>
    <row r="110" spans="2:257" ht="20" customHeight="1" x14ac:dyDescent="0.2">
      <c r="B110" s="245">
        <v>14</v>
      </c>
      <c r="C110" s="150">
        <v>13</v>
      </c>
      <c r="D110" s="245">
        <v>14</v>
      </c>
      <c r="E110" s="150">
        <v>13</v>
      </c>
      <c r="F110" s="150">
        <v>13</v>
      </c>
      <c r="G110" s="150">
        <v>13</v>
      </c>
      <c r="H110" s="55">
        <v>77</v>
      </c>
      <c r="I110" s="280">
        <v>69</v>
      </c>
      <c r="J110" s="280">
        <v>69</v>
      </c>
      <c r="K110" s="55">
        <v>77</v>
      </c>
      <c r="L110" s="150">
        <v>13</v>
      </c>
      <c r="M110" s="150">
        <v>13</v>
      </c>
      <c r="N110" s="150">
        <v>13</v>
      </c>
      <c r="O110" s="245">
        <v>14</v>
      </c>
      <c r="P110" s="150">
        <v>13</v>
      </c>
      <c r="Q110" s="245">
        <v>14</v>
      </c>
      <c r="R110" s="268"/>
    </row>
    <row r="111" spans="2:257" ht="20" customHeight="1" x14ac:dyDescent="0.2">
      <c r="B111" s="150">
        <v>13</v>
      </c>
      <c r="C111" s="245">
        <v>14</v>
      </c>
      <c r="D111" s="150">
        <v>13</v>
      </c>
      <c r="E111" s="150">
        <v>13</v>
      </c>
      <c r="F111" s="150">
        <v>13</v>
      </c>
      <c r="G111" s="64">
        <v>40</v>
      </c>
      <c r="H111" s="55">
        <v>77</v>
      </c>
      <c r="I111" s="55">
        <v>77</v>
      </c>
      <c r="J111" s="55">
        <v>77</v>
      </c>
      <c r="K111" s="55">
        <v>77</v>
      </c>
      <c r="L111" s="64">
        <v>40</v>
      </c>
      <c r="M111" s="150">
        <v>13</v>
      </c>
      <c r="N111" s="150">
        <v>13</v>
      </c>
      <c r="O111" s="150">
        <v>13</v>
      </c>
      <c r="P111" s="245">
        <v>14</v>
      </c>
      <c r="Q111" s="150">
        <v>13</v>
      </c>
      <c r="R111" s="268"/>
    </row>
    <row r="112" spans="2:257" ht="20" customHeight="1" x14ac:dyDescent="0.2">
      <c r="B112" s="245">
        <v>14</v>
      </c>
      <c r="C112" s="150">
        <v>13</v>
      </c>
      <c r="D112" s="245">
        <v>14</v>
      </c>
      <c r="E112" s="150">
        <v>13</v>
      </c>
      <c r="F112" s="150">
        <v>13</v>
      </c>
      <c r="G112" s="161">
        <v>78</v>
      </c>
      <c r="H112" s="150">
        <v>13</v>
      </c>
      <c r="I112" s="150">
        <v>13</v>
      </c>
      <c r="J112" s="150">
        <v>13</v>
      </c>
      <c r="K112" s="150">
        <v>13</v>
      </c>
      <c r="L112" s="161">
        <v>78</v>
      </c>
      <c r="M112" s="150">
        <v>13</v>
      </c>
      <c r="N112" s="150">
        <v>13</v>
      </c>
      <c r="O112" s="245">
        <v>14</v>
      </c>
      <c r="P112" s="150">
        <v>13</v>
      </c>
      <c r="Q112" s="245">
        <v>14</v>
      </c>
      <c r="R112" s="268"/>
    </row>
    <row r="113" spans="2:257" ht="20" customHeight="1" x14ac:dyDescent="0.2">
      <c r="B113" s="150">
        <v>13</v>
      </c>
      <c r="C113" s="150">
        <v>13</v>
      </c>
      <c r="D113" s="150">
        <v>13</v>
      </c>
      <c r="E113" s="53">
        <v>124</v>
      </c>
      <c r="F113" s="150">
        <v>13</v>
      </c>
      <c r="G113" s="150">
        <v>13</v>
      </c>
      <c r="H113" s="150">
        <v>13</v>
      </c>
      <c r="I113" s="150">
        <v>13</v>
      </c>
      <c r="J113" s="150">
        <v>13</v>
      </c>
      <c r="K113" s="150">
        <v>13</v>
      </c>
      <c r="L113" s="150">
        <v>13</v>
      </c>
      <c r="M113" s="150">
        <v>13</v>
      </c>
      <c r="N113" s="53">
        <v>124</v>
      </c>
      <c r="O113" s="150">
        <v>13</v>
      </c>
      <c r="P113" s="150">
        <v>13</v>
      </c>
      <c r="Q113" s="150">
        <v>13</v>
      </c>
      <c r="R113" s="268"/>
    </row>
    <row r="114" spans="2:257" ht="20" customHeight="1" x14ac:dyDescent="0.2">
      <c r="B114" s="150">
        <v>13</v>
      </c>
      <c r="C114" s="150">
        <v>13</v>
      </c>
      <c r="D114" s="150">
        <v>13</v>
      </c>
      <c r="E114" s="61">
        <v>90</v>
      </c>
      <c r="F114" s="150">
        <v>13</v>
      </c>
      <c r="G114" s="150">
        <v>13</v>
      </c>
      <c r="H114" s="150">
        <v>13</v>
      </c>
      <c r="I114" s="150">
        <v>13</v>
      </c>
      <c r="J114" s="150">
        <v>13</v>
      </c>
      <c r="K114" s="150">
        <v>13</v>
      </c>
      <c r="L114" s="150">
        <v>13</v>
      </c>
      <c r="M114" s="150">
        <v>13</v>
      </c>
      <c r="N114" s="61">
        <v>90</v>
      </c>
      <c r="O114" s="150">
        <v>13</v>
      </c>
      <c r="P114" s="150">
        <v>13</v>
      </c>
      <c r="Q114" s="150">
        <v>13</v>
      </c>
      <c r="R114" s="268"/>
    </row>
    <row r="115" spans="2:257" ht="20" customHeight="1" x14ac:dyDescent="0.2">
      <c r="B115" s="150">
        <v>13</v>
      </c>
      <c r="C115" s="2">
        <v>109</v>
      </c>
      <c r="D115" s="150">
        <v>13</v>
      </c>
      <c r="E115" s="150">
        <v>13</v>
      </c>
      <c r="F115" s="150">
        <v>13</v>
      </c>
      <c r="G115" s="64">
        <v>40</v>
      </c>
      <c r="H115" s="150">
        <v>13</v>
      </c>
      <c r="I115" s="150">
        <v>13</v>
      </c>
      <c r="J115" s="150">
        <v>13</v>
      </c>
      <c r="K115" s="150">
        <v>13</v>
      </c>
      <c r="L115" s="64">
        <v>40</v>
      </c>
      <c r="M115" s="150">
        <v>13</v>
      </c>
      <c r="N115" s="150">
        <v>13</v>
      </c>
      <c r="O115" s="150">
        <v>13</v>
      </c>
      <c r="P115" s="7">
        <v>116</v>
      </c>
      <c r="Q115" s="150">
        <v>13</v>
      </c>
      <c r="R115" s="268"/>
    </row>
    <row r="116" spans="2:257" ht="20" customHeight="1" x14ac:dyDescent="0.2">
      <c r="B116" s="150">
        <v>13</v>
      </c>
      <c r="C116" s="150">
        <v>13</v>
      </c>
      <c r="D116" s="150">
        <v>13</v>
      </c>
      <c r="E116" s="150">
        <v>13</v>
      </c>
      <c r="F116" s="150">
        <v>13</v>
      </c>
      <c r="G116" s="161">
        <v>78</v>
      </c>
      <c r="H116" s="150">
        <v>13</v>
      </c>
      <c r="I116" s="150">
        <v>13</v>
      </c>
      <c r="J116" s="150">
        <v>13</v>
      </c>
      <c r="K116" s="150">
        <v>13</v>
      </c>
      <c r="L116" s="161">
        <v>78</v>
      </c>
      <c r="M116" s="150">
        <v>13</v>
      </c>
      <c r="N116" s="150">
        <v>13</v>
      </c>
      <c r="O116" s="150">
        <v>13</v>
      </c>
      <c r="P116" s="150">
        <v>13</v>
      </c>
      <c r="Q116" s="150">
        <v>13</v>
      </c>
      <c r="R116" s="268"/>
    </row>
    <row r="117" spans="2:257" s="246" customFormat="1" ht="20" customHeight="1" x14ac:dyDescent="0.2">
      <c r="B117" s="150">
        <v>13</v>
      </c>
      <c r="C117" s="150">
        <v>13</v>
      </c>
      <c r="D117" s="150">
        <v>13</v>
      </c>
      <c r="E117" s="161">
        <v>78</v>
      </c>
      <c r="F117" s="150">
        <v>13</v>
      </c>
      <c r="G117" s="150">
        <v>13</v>
      </c>
      <c r="H117" s="150">
        <v>13</v>
      </c>
      <c r="I117" s="161">
        <v>78</v>
      </c>
      <c r="J117" s="161">
        <v>78</v>
      </c>
      <c r="K117" s="150">
        <v>13</v>
      </c>
      <c r="L117" s="150">
        <v>13</v>
      </c>
      <c r="M117" s="150">
        <v>13</v>
      </c>
      <c r="N117" s="161">
        <v>78</v>
      </c>
      <c r="O117" s="150">
        <v>13</v>
      </c>
      <c r="P117" s="150">
        <v>13</v>
      </c>
      <c r="Q117" s="150">
        <v>13</v>
      </c>
      <c r="R117" s="268"/>
      <c r="AG117" s="247"/>
      <c r="AW117" s="247"/>
      <c r="BM117" s="247"/>
      <c r="CC117" s="247"/>
      <c r="CS117" s="247"/>
      <c r="DI117" s="247"/>
      <c r="DY117" s="247"/>
      <c r="EO117" s="247"/>
      <c r="FE117" s="247"/>
      <c r="FU117" s="247"/>
      <c r="GK117" s="247"/>
      <c r="HA117" s="247"/>
      <c r="HQ117" s="247"/>
      <c r="IG117" s="247"/>
      <c r="IW117" s="247"/>
    </row>
    <row r="118" spans="2:257" ht="20" customHeight="1" x14ac:dyDescent="0.2">
      <c r="B118" s="150">
        <v>13</v>
      </c>
      <c r="C118" s="150">
        <v>13</v>
      </c>
      <c r="D118" s="150">
        <v>13</v>
      </c>
      <c r="E118" s="150">
        <v>13</v>
      </c>
      <c r="F118" s="150">
        <v>13</v>
      </c>
      <c r="G118" s="150">
        <v>13</v>
      </c>
      <c r="H118" s="64">
        <v>40</v>
      </c>
      <c r="I118" s="281">
        <v>102</v>
      </c>
      <c r="J118" s="150">
        <v>13</v>
      </c>
      <c r="K118" s="64">
        <v>40</v>
      </c>
      <c r="L118" s="150">
        <v>13</v>
      </c>
      <c r="M118" s="150">
        <v>13</v>
      </c>
      <c r="N118" s="150">
        <v>13</v>
      </c>
      <c r="O118" s="150">
        <v>13</v>
      </c>
      <c r="P118" s="150">
        <v>13</v>
      </c>
      <c r="Q118" s="150">
        <v>13</v>
      </c>
      <c r="R118" s="267">
        <v>4</v>
      </c>
    </row>
    <row r="119" spans="2:257" ht="20" customHeight="1" x14ac:dyDescent="0.2">
      <c r="B119" s="245">
        <v>14</v>
      </c>
      <c r="C119" s="150">
        <v>13</v>
      </c>
      <c r="D119" s="245">
        <v>14</v>
      </c>
      <c r="E119" s="150">
        <v>13</v>
      </c>
      <c r="F119" s="150">
        <v>13</v>
      </c>
      <c r="G119" s="60">
        <v>84</v>
      </c>
      <c r="H119" s="60">
        <v>84</v>
      </c>
      <c r="I119" s="60">
        <v>84</v>
      </c>
      <c r="J119" s="60">
        <v>84</v>
      </c>
      <c r="K119" s="60">
        <v>84</v>
      </c>
      <c r="L119" s="60">
        <v>84</v>
      </c>
      <c r="M119" s="150">
        <v>13</v>
      </c>
      <c r="N119" s="150">
        <v>13</v>
      </c>
      <c r="O119" s="245">
        <v>14</v>
      </c>
      <c r="P119" s="150">
        <v>13</v>
      </c>
      <c r="Q119" s="245">
        <v>14</v>
      </c>
      <c r="R119" s="268"/>
    </row>
    <row r="120" spans="2:257" ht="20" customHeight="1" x14ac:dyDescent="0.2">
      <c r="B120" s="150">
        <v>13</v>
      </c>
      <c r="C120" s="53">
        <v>123</v>
      </c>
      <c r="D120" s="150">
        <v>13</v>
      </c>
      <c r="E120" s="64">
        <v>40</v>
      </c>
      <c r="F120" s="282">
        <v>108</v>
      </c>
      <c r="G120" s="150">
        <v>13</v>
      </c>
      <c r="H120" s="150">
        <v>13</v>
      </c>
      <c r="I120" s="150">
        <v>13</v>
      </c>
      <c r="J120" s="150">
        <v>13</v>
      </c>
      <c r="K120" s="150">
        <v>13</v>
      </c>
      <c r="L120" s="150">
        <v>13</v>
      </c>
      <c r="M120" s="282">
        <v>108</v>
      </c>
      <c r="N120" s="64">
        <v>40</v>
      </c>
      <c r="O120" s="150">
        <v>13</v>
      </c>
      <c r="P120" s="53">
        <v>124</v>
      </c>
      <c r="Q120" s="150">
        <v>13</v>
      </c>
      <c r="R120" s="268"/>
    </row>
    <row r="121" spans="2:257" ht="20" customHeight="1" x14ac:dyDescent="0.2">
      <c r="B121" s="245">
        <v>14</v>
      </c>
      <c r="C121" s="61">
        <v>90</v>
      </c>
      <c r="D121" s="245">
        <v>14</v>
      </c>
      <c r="E121" s="60">
        <v>84</v>
      </c>
      <c r="F121" s="150">
        <v>13</v>
      </c>
      <c r="G121" s="64">
        <v>40</v>
      </c>
      <c r="H121" s="150">
        <v>13</v>
      </c>
      <c r="I121" s="60">
        <v>84</v>
      </c>
      <c r="J121" s="60">
        <v>84</v>
      </c>
      <c r="K121" s="150">
        <v>13</v>
      </c>
      <c r="L121" s="64">
        <v>40</v>
      </c>
      <c r="M121" s="150">
        <v>13</v>
      </c>
      <c r="N121" s="60">
        <v>84</v>
      </c>
      <c r="O121" s="245">
        <v>14</v>
      </c>
      <c r="P121" s="61">
        <v>90</v>
      </c>
      <c r="Q121" s="245">
        <v>14</v>
      </c>
      <c r="R121" s="268"/>
    </row>
    <row r="122" spans="2:257" ht="20" customHeight="1" x14ac:dyDescent="0.2">
      <c r="B122" s="150">
        <v>13</v>
      </c>
      <c r="C122" s="150">
        <v>13</v>
      </c>
      <c r="D122" s="150">
        <v>13</v>
      </c>
      <c r="E122" s="150">
        <v>13</v>
      </c>
      <c r="F122" s="150">
        <v>13</v>
      </c>
      <c r="G122" s="60">
        <v>84</v>
      </c>
      <c r="H122" s="150">
        <v>13</v>
      </c>
      <c r="I122" s="150">
        <v>13</v>
      </c>
      <c r="J122" s="150">
        <v>13</v>
      </c>
      <c r="K122" s="150">
        <v>13</v>
      </c>
      <c r="L122" s="60">
        <v>84</v>
      </c>
      <c r="M122" s="150">
        <v>13</v>
      </c>
      <c r="N122" s="150">
        <v>13</v>
      </c>
      <c r="O122" s="150">
        <v>13</v>
      </c>
      <c r="P122" s="150">
        <v>13</v>
      </c>
      <c r="Q122" s="150">
        <v>13</v>
      </c>
      <c r="R122" s="268"/>
    </row>
    <row r="123" spans="2:257" ht="20" customHeight="1" x14ac:dyDescent="0.2">
      <c r="B123" s="150">
        <v>13</v>
      </c>
      <c r="C123" s="150">
        <v>13</v>
      </c>
      <c r="D123" s="150">
        <v>13</v>
      </c>
      <c r="E123" s="283">
        <v>113</v>
      </c>
      <c r="F123" s="150">
        <v>13</v>
      </c>
      <c r="G123" s="150">
        <v>13</v>
      </c>
      <c r="H123" s="150">
        <v>13</v>
      </c>
      <c r="I123" s="150">
        <v>13</v>
      </c>
      <c r="J123" s="150">
        <v>13</v>
      </c>
      <c r="K123" s="150">
        <v>13</v>
      </c>
      <c r="L123" s="150">
        <v>13</v>
      </c>
      <c r="M123" s="150">
        <v>13</v>
      </c>
      <c r="N123" s="283">
        <v>113</v>
      </c>
      <c r="O123" s="150">
        <v>13</v>
      </c>
      <c r="P123" s="150">
        <v>13</v>
      </c>
      <c r="Q123" s="150">
        <v>13</v>
      </c>
      <c r="R123" s="268"/>
    </row>
    <row r="124" spans="2:257" ht="20" customHeight="1" x14ac:dyDescent="0.2">
      <c r="B124" s="150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50">
        <v>13</v>
      </c>
      <c r="R124" s="268"/>
    </row>
    <row r="125" spans="2:257" ht="20" customHeight="1" x14ac:dyDescent="0.2">
      <c r="B125" s="150">
        <v>13</v>
      </c>
      <c r="C125" s="150">
        <v>13</v>
      </c>
      <c r="D125" s="150">
        <v>13</v>
      </c>
      <c r="E125" s="22">
        <v>68</v>
      </c>
      <c r="F125" s="150">
        <v>13</v>
      </c>
      <c r="G125" s="150">
        <v>13</v>
      </c>
      <c r="H125" s="150">
        <v>13</v>
      </c>
      <c r="I125" s="150">
        <v>13</v>
      </c>
      <c r="J125" s="150">
        <v>13</v>
      </c>
      <c r="K125" s="150">
        <v>13</v>
      </c>
      <c r="L125" s="150">
        <v>13</v>
      </c>
      <c r="M125" s="150">
        <v>13</v>
      </c>
      <c r="N125" s="22">
        <v>68</v>
      </c>
      <c r="O125" s="150">
        <v>13</v>
      </c>
      <c r="P125" s="150">
        <v>13</v>
      </c>
      <c r="Q125" s="150">
        <v>13</v>
      </c>
      <c r="R125" s="268"/>
    </row>
    <row r="126" spans="2:257" s="246" customFormat="1" ht="20" customHeight="1" x14ac:dyDescent="0.2">
      <c r="B126" s="150">
        <v>13</v>
      </c>
      <c r="C126" s="150">
        <v>13</v>
      </c>
      <c r="D126" s="150">
        <v>13</v>
      </c>
      <c r="E126" s="22">
        <v>68</v>
      </c>
      <c r="F126" s="150">
        <v>13</v>
      </c>
      <c r="G126" s="150">
        <v>13</v>
      </c>
      <c r="H126" s="150">
        <v>13</v>
      </c>
      <c r="I126" s="150">
        <v>13</v>
      </c>
      <c r="J126" s="150">
        <v>13</v>
      </c>
      <c r="K126" s="150">
        <v>13</v>
      </c>
      <c r="L126" s="150">
        <v>13</v>
      </c>
      <c r="M126" s="150">
        <v>13</v>
      </c>
      <c r="N126" s="22">
        <v>68</v>
      </c>
      <c r="O126" s="150">
        <v>13</v>
      </c>
      <c r="P126" s="150">
        <v>13</v>
      </c>
      <c r="Q126" s="150">
        <v>13</v>
      </c>
      <c r="R126" s="268"/>
      <c r="AG126" s="247"/>
      <c r="AW126" s="247"/>
      <c r="BM126" s="247"/>
      <c r="CC126" s="247"/>
      <c r="CS126" s="247"/>
      <c r="DI126" s="247"/>
      <c r="DY126" s="247"/>
      <c r="EO126" s="247"/>
      <c r="FE126" s="247"/>
      <c r="FU126" s="247"/>
      <c r="GK126" s="247"/>
      <c r="HA126" s="247"/>
      <c r="HQ126" s="247"/>
      <c r="IG126" s="247"/>
      <c r="IW126" s="247"/>
    </row>
    <row r="127" spans="2:257" ht="20" customHeight="1" x14ac:dyDescent="0.2">
      <c r="B127" s="150">
        <v>13</v>
      </c>
      <c r="C127" s="150">
        <v>13</v>
      </c>
      <c r="D127" s="150">
        <v>13</v>
      </c>
      <c r="E127" s="22">
        <v>68</v>
      </c>
      <c r="F127" s="150">
        <v>13</v>
      </c>
      <c r="G127" s="64">
        <v>40</v>
      </c>
      <c r="H127" s="150">
        <v>13</v>
      </c>
      <c r="I127" s="64">
        <v>40</v>
      </c>
      <c r="J127" s="64">
        <v>40</v>
      </c>
      <c r="K127" s="150">
        <v>13</v>
      </c>
      <c r="L127" s="64">
        <v>40</v>
      </c>
      <c r="M127" s="150">
        <v>13</v>
      </c>
      <c r="N127" s="22">
        <v>68</v>
      </c>
      <c r="O127" s="150">
        <v>13</v>
      </c>
      <c r="P127" s="150">
        <v>13</v>
      </c>
      <c r="Q127" s="150">
        <v>13</v>
      </c>
      <c r="R127" s="267">
        <v>3</v>
      </c>
    </row>
    <row r="128" spans="2:257" ht="20" customHeight="1" x14ac:dyDescent="0.2">
      <c r="B128" s="151">
        <v>85</v>
      </c>
      <c r="C128" s="151">
        <v>85</v>
      </c>
      <c r="D128" s="161">
        <v>78</v>
      </c>
      <c r="E128" s="22">
        <v>68</v>
      </c>
      <c r="F128" s="150">
        <v>13</v>
      </c>
      <c r="G128" s="288">
        <v>87</v>
      </c>
      <c r="H128" s="150">
        <v>13</v>
      </c>
      <c r="I128" s="161">
        <v>78</v>
      </c>
      <c r="J128" s="161">
        <v>78</v>
      </c>
      <c r="K128" s="150">
        <v>13</v>
      </c>
      <c r="L128" s="288">
        <v>87</v>
      </c>
      <c r="M128" s="150">
        <v>13</v>
      </c>
      <c r="N128" s="22">
        <v>68</v>
      </c>
      <c r="O128" s="161">
        <v>78</v>
      </c>
      <c r="P128" s="151">
        <v>85</v>
      </c>
      <c r="Q128" s="151">
        <v>85</v>
      </c>
      <c r="R128" s="268"/>
    </row>
    <row r="129" spans="2:257" ht="20" customHeight="1" x14ac:dyDescent="0.2">
      <c r="B129" s="151">
        <v>85</v>
      </c>
      <c r="C129" s="77">
        <v>42</v>
      </c>
      <c r="D129" s="284">
        <v>74</v>
      </c>
      <c r="E129" s="22">
        <v>68</v>
      </c>
      <c r="F129" s="150">
        <v>13</v>
      </c>
      <c r="G129" s="64">
        <v>40</v>
      </c>
      <c r="H129" s="276">
        <v>105</v>
      </c>
      <c r="I129" s="64">
        <v>40</v>
      </c>
      <c r="J129" s="64">
        <v>40</v>
      </c>
      <c r="K129" s="276">
        <v>104</v>
      </c>
      <c r="L129" s="64">
        <v>40</v>
      </c>
      <c r="M129" s="150">
        <v>13</v>
      </c>
      <c r="N129" s="22">
        <v>68</v>
      </c>
      <c r="O129" s="282">
        <v>72</v>
      </c>
      <c r="P129" s="77">
        <v>41</v>
      </c>
      <c r="Q129" s="151">
        <v>85</v>
      </c>
      <c r="R129" s="268"/>
    </row>
    <row r="130" spans="2:257" ht="20" customHeight="1" x14ac:dyDescent="0.2">
      <c r="B130" s="151">
        <v>85</v>
      </c>
      <c r="C130" s="151">
        <v>85</v>
      </c>
      <c r="D130" s="161">
        <v>78</v>
      </c>
      <c r="E130" s="22">
        <v>68</v>
      </c>
      <c r="F130" s="288">
        <v>87</v>
      </c>
      <c r="G130" s="151">
        <v>85</v>
      </c>
      <c r="H130" s="151">
        <v>85</v>
      </c>
      <c r="I130" s="151">
        <v>85</v>
      </c>
      <c r="J130" s="151">
        <v>85</v>
      </c>
      <c r="K130" s="151">
        <v>85</v>
      </c>
      <c r="L130" s="151">
        <v>85</v>
      </c>
      <c r="M130" s="288">
        <v>87</v>
      </c>
      <c r="N130" s="22">
        <v>68</v>
      </c>
      <c r="O130" s="161">
        <v>78</v>
      </c>
      <c r="P130" s="151">
        <v>85</v>
      </c>
      <c r="Q130" s="151">
        <v>85</v>
      </c>
      <c r="R130" s="268"/>
    </row>
    <row r="131" spans="2:257" ht="20" customHeight="1" x14ac:dyDescent="0.2">
      <c r="B131" s="270">
        <v>117</v>
      </c>
      <c r="C131" s="150">
        <v>13</v>
      </c>
      <c r="D131" s="150">
        <v>13</v>
      </c>
      <c r="E131" s="22">
        <v>68</v>
      </c>
      <c r="F131" s="150">
        <v>13</v>
      </c>
      <c r="G131" s="150">
        <v>13</v>
      </c>
      <c r="H131" s="150">
        <v>13</v>
      </c>
      <c r="I131" s="150">
        <v>13</v>
      </c>
      <c r="J131" s="150">
        <v>13</v>
      </c>
      <c r="K131" s="150">
        <v>13</v>
      </c>
      <c r="L131" s="150">
        <v>13</v>
      </c>
      <c r="M131" s="150">
        <v>13</v>
      </c>
      <c r="N131" s="22">
        <v>68</v>
      </c>
      <c r="O131" s="150">
        <v>13</v>
      </c>
      <c r="P131" s="150">
        <v>13</v>
      </c>
      <c r="Q131" s="270">
        <v>117</v>
      </c>
      <c r="R131" s="268"/>
    </row>
    <row r="132" spans="2:257" ht="20" customHeight="1" x14ac:dyDescent="0.2">
      <c r="B132" s="150">
        <v>13</v>
      </c>
      <c r="C132" s="150">
        <v>13</v>
      </c>
      <c r="D132" s="150">
        <v>13</v>
      </c>
      <c r="E132" s="22">
        <v>68</v>
      </c>
      <c r="F132" s="150">
        <v>13</v>
      </c>
      <c r="G132" s="150">
        <v>13</v>
      </c>
      <c r="H132" s="150">
        <v>13</v>
      </c>
      <c r="I132" s="150">
        <v>13</v>
      </c>
      <c r="J132" s="150">
        <v>13</v>
      </c>
      <c r="K132" s="150">
        <v>13</v>
      </c>
      <c r="L132" s="150">
        <v>13</v>
      </c>
      <c r="M132" s="150">
        <v>13</v>
      </c>
      <c r="N132" s="22">
        <v>68</v>
      </c>
      <c r="O132" s="150">
        <v>13</v>
      </c>
      <c r="P132" s="150">
        <v>13</v>
      </c>
      <c r="Q132" s="150">
        <v>13</v>
      </c>
      <c r="R132" s="268"/>
    </row>
    <row r="133" spans="2:257" ht="20" customHeight="1" x14ac:dyDescent="0.2">
      <c r="B133" s="150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50">
        <v>13</v>
      </c>
      <c r="R133" s="268"/>
    </row>
    <row r="134" spans="2:257" ht="20" customHeight="1" x14ac:dyDescent="0.2">
      <c r="B134" s="150">
        <v>13</v>
      </c>
      <c r="C134" s="161">
        <v>78</v>
      </c>
      <c r="D134" s="287">
        <v>87</v>
      </c>
      <c r="E134" s="22">
        <v>68</v>
      </c>
      <c r="F134" s="287">
        <v>87</v>
      </c>
      <c r="G134" s="161">
        <v>78</v>
      </c>
      <c r="H134" s="288">
        <v>87</v>
      </c>
      <c r="I134" s="269">
        <v>78</v>
      </c>
      <c r="J134" s="161">
        <v>78</v>
      </c>
      <c r="K134" s="288">
        <v>87</v>
      </c>
      <c r="L134" s="161">
        <v>78</v>
      </c>
      <c r="M134" s="287">
        <v>87</v>
      </c>
      <c r="N134" s="22">
        <v>68</v>
      </c>
      <c r="O134" s="287">
        <v>87</v>
      </c>
      <c r="P134" s="161">
        <v>78</v>
      </c>
      <c r="Q134" s="150">
        <v>13</v>
      </c>
      <c r="R134" s="268"/>
    </row>
    <row r="135" spans="2:257" s="246" customFormat="1" ht="20" customHeight="1" x14ac:dyDescent="0.2">
      <c r="B135" s="150">
        <v>13</v>
      </c>
      <c r="C135" s="150">
        <v>13</v>
      </c>
      <c r="D135" s="150">
        <v>13</v>
      </c>
      <c r="E135" s="22">
        <v>68</v>
      </c>
      <c r="F135" s="150">
        <v>13</v>
      </c>
      <c r="G135" s="150">
        <v>13</v>
      </c>
      <c r="H135" s="150">
        <v>13</v>
      </c>
      <c r="I135" s="150">
        <v>13</v>
      </c>
      <c r="J135" s="150">
        <v>13</v>
      </c>
      <c r="K135" s="150">
        <v>13</v>
      </c>
      <c r="L135" s="150">
        <v>13</v>
      </c>
      <c r="M135" s="150">
        <v>13</v>
      </c>
      <c r="N135" s="22">
        <v>68</v>
      </c>
      <c r="O135" s="150">
        <v>13</v>
      </c>
      <c r="P135" s="150">
        <v>13</v>
      </c>
      <c r="Q135" s="150">
        <v>13</v>
      </c>
      <c r="R135" s="268"/>
      <c r="AG135" s="247"/>
      <c r="AW135" s="247"/>
      <c r="BM135" s="247"/>
      <c r="CC135" s="247"/>
      <c r="CS135" s="247"/>
      <c r="DI135" s="247"/>
      <c r="DY135" s="247"/>
      <c r="EO135" s="247"/>
      <c r="FE135" s="247"/>
      <c r="FU135" s="247"/>
      <c r="GK135" s="247"/>
      <c r="HA135" s="247"/>
      <c r="HQ135" s="247"/>
      <c r="IG135" s="247"/>
      <c r="IW135" s="247"/>
    </row>
    <row r="136" spans="2:257" ht="20" customHeight="1" x14ac:dyDescent="0.2">
      <c r="B136" s="150">
        <v>13</v>
      </c>
      <c r="C136" s="150">
        <v>13</v>
      </c>
      <c r="D136" s="150">
        <v>13</v>
      </c>
      <c r="E136" s="22">
        <v>68</v>
      </c>
      <c r="F136" s="150">
        <v>13</v>
      </c>
      <c r="G136" s="150">
        <v>13</v>
      </c>
      <c r="H136" s="270">
        <v>118</v>
      </c>
      <c r="I136" s="150">
        <v>13</v>
      </c>
      <c r="J136" s="150">
        <v>13</v>
      </c>
      <c r="K136" s="270">
        <v>118</v>
      </c>
      <c r="L136" s="150">
        <v>13</v>
      </c>
      <c r="M136" s="150">
        <v>13</v>
      </c>
      <c r="N136" s="22">
        <v>68</v>
      </c>
      <c r="O136" s="150">
        <v>13</v>
      </c>
      <c r="P136" s="150">
        <v>13</v>
      </c>
      <c r="Q136" s="150">
        <v>13</v>
      </c>
      <c r="R136" s="267">
        <v>2</v>
      </c>
    </row>
    <row r="137" spans="2:257" ht="20" customHeight="1" x14ac:dyDescent="0.2">
      <c r="B137" s="245">
        <v>14</v>
      </c>
      <c r="C137" s="150">
        <v>13</v>
      </c>
      <c r="D137" s="245">
        <v>14</v>
      </c>
      <c r="E137" s="22">
        <v>68</v>
      </c>
      <c r="F137" s="150">
        <v>13</v>
      </c>
      <c r="G137" s="150">
        <v>13</v>
      </c>
      <c r="H137" s="150">
        <v>13</v>
      </c>
      <c r="I137" s="150">
        <v>13</v>
      </c>
      <c r="J137" s="150">
        <v>13</v>
      </c>
      <c r="K137" s="150">
        <v>13</v>
      </c>
      <c r="L137" s="150">
        <v>13</v>
      </c>
      <c r="M137" s="150">
        <v>13</v>
      </c>
      <c r="N137" s="22">
        <v>68</v>
      </c>
      <c r="O137" s="245">
        <v>14</v>
      </c>
      <c r="P137" s="150">
        <v>13</v>
      </c>
      <c r="Q137" s="245">
        <v>14</v>
      </c>
      <c r="R137" s="268"/>
    </row>
    <row r="138" spans="2:257" ht="20" customHeight="1" x14ac:dyDescent="0.2">
      <c r="B138" s="150">
        <v>13</v>
      </c>
      <c r="C138" s="245">
        <v>14</v>
      </c>
      <c r="D138" s="150">
        <v>13</v>
      </c>
      <c r="E138" s="22">
        <v>68</v>
      </c>
      <c r="F138" s="150">
        <v>13</v>
      </c>
      <c r="G138" s="150">
        <v>13</v>
      </c>
      <c r="H138" s="282">
        <v>36</v>
      </c>
      <c r="I138" s="281">
        <v>102</v>
      </c>
      <c r="J138" s="150">
        <v>13</v>
      </c>
      <c r="K138" s="284">
        <v>38</v>
      </c>
      <c r="L138" s="150">
        <v>13</v>
      </c>
      <c r="M138" s="150">
        <v>13</v>
      </c>
      <c r="N138" s="22">
        <v>68</v>
      </c>
      <c r="O138" s="150">
        <v>13</v>
      </c>
      <c r="P138" s="245">
        <v>14</v>
      </c>
      <c r="Q138" s="150">
        <v>13</v>
      </c>
      <c r="R138" s="268"/>
    </row>
    <row r="139" spans="2:257" ht="20" customHeight="1" x14ac:dyDescent="0.2">
      <c r="B139" s="150">
        <v>13</v>
      </c>
      <c r="C139" s="150">
        <v>13</v>
      </c>
      <c r="D139" s="150">
        <v>13</v>
      </c>
      <c r="E139" s="22">
        <v>68</v>
      </c>
      <c r="F139" s="150">
        <v>13</v>
      </c>
      <c r="G139" s="150">
        <v>13</v>
      </c>
      <c r="H139" s="287">
        <v>87</v>
      </c>
      <c r="I139" s="151">
        <v>85</v>
      </c>
      <c r="J139" s="151">
        <v>85</v>
      </c>
      <c r="K139" s="287">
        <v>87</v>
      </c>
      <c r="L139" s="150">
        <v>13</v>
      </c>
      <c r="M139" s="150">
        <v>13</v>
      </c>
      <c r="N139" s="22">
        <v>68</v>
      </c>
      <c r="O139" s="150">
        <v>13</v>
      </c>
      <c r="P139" s="150">
        <v>13</v>
      </c>
      <c r="Q139" s="150">
        <v>13</v>
      </c>
      <c r="R139" s="268"/>
    </row>
    <row r="140" spans="2:257" ht="20" customHeight="1" x14ac:dyDescent="0.2">
      <c r="B140" s="150">
        <v>13</v>
      </c>
      <c r="C140" s="150">
        <v>13</v>
      </c>
      <c r="D140" s="150">
        <v>13</v>
      </c>
      <c r="E140" s="64">
        <v>40</v>
      </c>
      <c r="F140" s="150">
        <v>13</v>
      </c>
      <c r="G140" s="64">
        <v>40</v>
      </c>
      <c r="H140" s="280">
        <v>69</v>
      </c>
      <c r="I140" s="280">
        <v>69</v>
      </c>
      <c r="J140" s="280">
        <v>69</v>
      </c>
      <c r="K140" s="280">
        <v>69</v>
      </c>
      <c r="L140" s="64">
        <v>40</v>
      </c>
      <c r="M140" s="150">
        <v>13</v>
      </c>
      <c r="N140" s="64">
        <v>40</v>
      </c>
      <c r="O140" s="150">
        <v>13</v>
      </c>
      <c r="P140" s="150">
        <v>13</v>
      </c>
      <c r="Q140" s="150">
        <v>13</v>
      </c>
      <c r="R140" s="268"/>
    </row>
    <row r="141" spans="2:257" ht="20" customHeight="1" x14ac:dyDescent="0.2">
      <c r="B141" s="150">
        <v>13</v>
      </c>
      <c r="C141" s="282">
        <v>106</v>
      </c>
      <c r="D141" s="150">
        <v>13</v>
      </c>
      <c r="E141" s="161">
        <v>78</v>
      </c>
      <c r="F141" s="150">
        <v>13</v>
      </c>
      <c r="G141" s="161">
        <v>78</v>
      </c>
      <c r="H141" s="150">
        <v>13</v>
      </c>
      <c r="I141" s="280">
        <v>69</v>
      </c>
      <c r="J141" s="280">
        <v>69</v>
      </c>
      <c r="K141" s="150">
        <v>13</v>
      </c>
      <c r="L141" s="161">
        <v>78</v>
      </c>
      <c r="M141" s="150">
        <v>13</v>
      </c>
      <c r="N141" s="161">
        <v>78</v>
      </c>
      <c r="O141" s="150">
        <v>13</v>
      </c>
      <c r="P141" s="270">
        <v>117</v>
      </c>
      <c r="Q141" s="150">
        <v>13</v>
      </c>
      <c r="R141" s="268"/>
    </row>
    <row r="142" spans="2:257" ht="20" customHeight="1" x14ac:dyDescent="0.2">
      <c r="B142" s="150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50">
        <v>13</v>
      </c>
      <c r="I142" s="280">
        <v>69</v>
      </c>
      <c r="J142" s="280">
        <v>69</v>
      </c>
      <c r="K142" s="150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50">
        <v>13</v>
      </c>
      <c r="R142" s="268"/>
    </row>
    <row r="143" spans="2:257" ht="20" customHeight="1" x14ac:dyDescent="0.2">
      <c r="B143" s="150">
        <v>13</v>
      </c>
      <c r="C143" s="287">
        <v>87</v>
      </c>
      <c r="D143" s="151">
        <v>85</v>
      </c>
      <c r="E143" s="151">
        <v>85</v>
      </c>
      <c r="F143" s="151">
        <v>85</v>
      </c>
      <c r="G143" s="287">
        <v>87</v>
      </c>
      <c r="H143" s="150">
        <v>13</v>
      </c>
      <c r="I143" s="280">
        <v>69</v>
      </c>
      <c r="J143" s="280">
        <v>69</v>
      </c>
      <c r="K143" s="150">
        <v>13</v>
      </c>
      <c r="L143" s="287">
        <v>87</v>
      </c>
      <c r="M143" s="151">
        <v>85</v>
      </c>
      <c r="N143" s="151">
        <v>85</v>
      </c>
      <c r="O143" s="151">
        <v>85</v>
      </c>
      <c r="P143" s="287">
        <v>87</v>
      </c>
      <c r="Q143" s="150">
        <v>13</v>
      </c>
      <c r="R143" s="268"/>
    </row>
    <row r="144" spans="2:257" s="246" customFormat="1" ht="20" customHeight="1" x14ac:dyDescent="0.2">
      <c r="B144" s="150">
        <v>13</v>
      </c>
      <c r="C144" s="150">
        <v>13</v>
      </c>
      <c r="D144" s="150">
        <v>13</v>
      </c>
      <c r="E144" s="150">
        <v>13</v>
      </c>
      <c r="F144" s="150">
        <v>13</v>
      </c>
      <c r="G144" s="150">
        <v>13</v>
      </c>
      <c r="H144" s="150">
        <v>13</v>
      </c>
      <c r="I144" s="280">
        <v>69</v>
      </c>
      <c r="J144" s="280">
        <v>69</v>
      </c>
      <c r="K144" s="150">
        <v>13</v>
      </c>
      <c r="L144" s="150">
        <v>13</v>
      </c>
      <c r="M144" s="150">
        <v>13</v>
      </c>
      <c r="N144" s="150">
        <v>13</v>
      </c>
      <c r="O144" s="150">
        <v>13</v>
      </c>
      <c r="P144" s="150">
        <v>13</v>
      </c>
      <c r="Q144" s="150">
        <v>13</v>
      </c>
      <c r="R144" s="268"/>
      <c r="AG144" s="247"/>
      <c r="AW144" s="247"/>
      <c r="BM144" s="247"/>
      <c r="CC144" s="247"/>
      <c r="CS144" s="247"/>
      <c r="DI144" s="247"/>
      <c r="DY144" s="247"/>
      <c r="EO144" s="247"/>
      <c r="FE144" s="247"/>
      <c r="FU144" s="247"/>
      <c r="GK144" s="247"/>
      <c r="HA144" s="247"/>
      <c r="HQ144" s="247"/>
      <c r="IG144" s="247"/>
      <c r="IW144" s="247"/>
    </row>
    <row r="145" spans="2:257" ht="20" customHeight="1" x14ac:dyDescent="0.2">
      <c r="B145" s="150">
        <v>13</v>
      </c>
      <c r="C145" s="150">
        <v>13</v>
      </c>
      <c r="D145" s="150">
        <v>13</v>
      </c>
      <c r="E145" s="150">
        <v>13</v>
      </c>
      <c r="F145" s="150">
        <v>13</v>
      </c>
      <c r="G145" s="150">
        <v>13</v>
      </c>
      <c r="H145" s="64">
        <v>40</v>
      </c>
      <c r="I145" s="150">
        <v>13</v>
      </c>
      <c r="J145" s="150">
        <v>13</v>
      </c>
      <c r="K145" s="150">
        <v>13</v>
      </c>
      <c r="L145" s="150">
        <v>13</v>
      </c>
      <c r="M145" s="150">
        <v>13</v>
      </c>
      <c r="N145" s="150">
        <v>13</v>
      </c>
      <c r="O145" s="150">
        <v>13</v>
      </c>
      <c r="P145" s="150">
        <v>13</v>
      </c>
      <c r="Q145" s="150">
        <v>13</v>
      </c>
      <c r="R145" s="267">
        <v>1</v>
      </c>
    </row>
    <row r="146" spans="2:257" ht="20" customHeight="1" x14ac:dyDescent="0.2">
      <c r="B146" s="150">
        <v>13</v>
      </c>
      <c r="C146" s="150">
        <v>13</v>
      </c>
      <c r="D146" s="245">
        <v>14</v>
      </c>
      <c r="E146" s="150">
        <v>13</v>
      </c>
      <c r="F146" s="245">
        <v>14</v>
      </c>
      <c r="G146" s="150">
        <v>13</v>
      </c>
      <c r="H146" s="161">
        <v>78</v>
      </c>
      <c r="I146" s="150">
        <v>13</v>
      </c>
      <c r="J146" s="64">
        <v>40</v>
      </c>
      <c r="K146" s="150">
        <v>13</v>
      </c>
      <c r="L146" s="150">
        <v>13</v>
      </c>
      <c r="M146" s="150">
        <v>13</v>
      </c>
      <c r="N146" s="150">
        <v>13</v>
      </c>
      <c r="O146" s="150">
        <v>13</v>
      </c>
      <c r="P146" s="150">
        <v>13</v>
      </c>
      <c r="Q146" s="150">
        <v>13</v>
      </c>
      <c r="R146" s="268"/>
    </row>
    <row r="147" spans="2:257" ht="20" customHeight="1" x14ac:dyDescent="0.2">
      <c r="B147" s="150">
        <v>13</v>
      </c>
      <c r="C147" s="150">
        <v>13</v>
      </c>
      <c r="D147" s="150">
        <v>13</v>
      </c>
      <c r="E147" s="289">
        <v>13</v>
      </c>
      <c r="F147" s="150">
        <v>13</v>
      </c>
      <c r="G147" s="150">
        <v>13</v>
      </c>
      <c r="H147" s="150">
        <v>13</v>
      </c>
      <c r="I147" s="150">
        <v>13</v>
      </c>
      <c r="J147" s="161">
        <v>78</v>
      </c>
      <c r="K147" s="150">
        <v>13</v>
      </c>
      <c r="L147" s="150">
        <v>13</v>
      </c>
      <c r="M147" s="64">
        <v>40</v>
      </c>
      <c r="N147" s="64">
        <v>40</v>
      </c>
      <c r="O147" s="64">
        <v>40</v>
      </c>
      <c r="P147" s="281">
        <v>102</v>
      </c>
      <c r="Q147" s="150">
        <v>13</v>
      </c>
      <c r="R147" s="268"/>
    </row>
    <row r="148" spans="2:257" ht="20" customHeight="1" x14ac:dyDescent="0.2">
      <c r="B148" s="150">
        <v>13</v>
      </c>
      <c r="C148" s="150">
        <v>13</v>
      </c>
      <c r="D148" s="150">
        <v>13</v>
      </c>
      <c r="E148" s="150">
        <v>13</v>
      </c>
      <c r="F148" s="150">
        <v>13</v>
      </c>
      <c r="G148" s="150">
        <v>13</v>
      </c>
      <c r="H148" s="150">
        <v>13</v>
      </c>
      <c r="I148" s="150">
        <v>13</v>
      </c>
      <c r="J148" s="150">
        <v>13</v>
      </c>
      <c r="K148" s="150">
        <v>13</v>
      </c>
      <c r="L148" s="287">
        <v>87</v>
      </c>
      <c r="M148" s="151">
        <v>85</v>
      </c>
      <c r="N148" s="22">
        <v>68</v>
      </c>
      <c r="O148" s="151">
        <v>85</v>
      </c>
      <c r="P148" s="287">
        <v>87</v>
      </c>
      <c r="Q148" s="150">
        <v>13</v>
      </c>
      <c r="R148" s="268"/>
    </row>
    <row r="149" spans="2:257" ht="20" customHeight="1" x14ac:dyDescent="0.2">
      <c r="B149" s="150">
        <v>13</v>
      </c>
      <c r="C149" s="150">
        <v>13</v>
      </c>
      <c r="D149" s="150">
        <v>13</v>
      </c>
      <c r="E149" s="53">
        <v>124</v>
      </c>
      <c r="F149" s="150">
        <v>13</v>
      </c>
      <c r="G149" s="150">
        <v>13</v>
      </c>
      <c r="H149" s="150">
        <v>13</v>
      </c>
      <c r="I149" s="64">
        <v>40</v>
      </c>
      <c r="J149" s="64">
        <v>40</v>
      </c>
      <c r="K149" s="150">
        <v>13</v>
      </c>
      <c r="L149" s="150">
        <v>13</v>
      </c>
      <c r="M149" s="150">
        <v>13</v>
      </c>
      <c r="N149" s="22">
        <v>68</v>
      </c>
      <c r="O149" s="150">
        <v>13</v>
      </c>
      <c r="P149" s="150">
        <v>13</v>
      </c>
      <c r="Q149" s="150">
        <v>13</v>
      </c>
      <c r="R149" s="268"/>
    </row>
    <row r="150" spans="2:257" ht="20" customHeight="1" x14ac:dyDescent="0.2">
      <c r="B150" s="150">
        <v>13</v>
      </c>
      <c r="C150" s="150">
        <v>13</v>
      </c>
      <c r="D150" s="150">
        <v>13</v>
      </c>
      <c r="E150" s="61">
        <v>90</v>
      </c>
      <c r="F150" s="150">
        <v>13</v>
      </c>
      <c r="G150" s="150">
        <v>13</v>
      </c>
      <c r="H150" s="150">
        <v>13</v>
      </c>
      <c r="I150" s="151">
        <v>85</v>
      </c>
      <c r="J150" s="151">
        <v>85</v>
      </c>
      <c r="K150" s="150">
        <v>13</v>
      </c>
      <c r="L150" s="150">
        <v>13</v>
      </c>
      <c r="M150" s="150">
        <v>13</v>
      </c>
      <c r="N150" s="22">
        <v>68</v>
      </c>
      <c r="O150" s="150">
        <v>13</v>
      </c>
      <c r="P150" s="150">
        <v>13</v>
      </c>
      <c r="Q150" s="150">
        <v>13</v>
      </c>
      <c r="R150" s="268"/>
    </row>
    <row r="151" spans="2:257" ht="20" customHeight="1" x14ac:dyDescent="0.2">
      <c r="B151" s="150">
        <v>13</v>
      </c>
      <c r="C151" s="64">
        <v>40</v>
      </c>
      <c r="D151" s="276">
        <v>105</v>
      </c>
      <c r="E151" s="150">
        <v>13</v>
      </c>
      <c r="F151" s="64">
        <v>40</v>
      </c>
      <c r="G151" s="150">
        <v>13</v>
      </c>
      <c r="H151" s="150">
        <v>13</v>
      </c>
      <c r="I151" s="150">
        <v>13</v>
      </c>
      <c r="J151" s="150">
        <v>13</v>
      </c>
      <c r="K151" s="150">
        <v>13</v>
      </c>
      <c r="L151" s="64">
        <v>40</v>
      </c>
      <c r="M151" s="150">
        <v>13</v>
      </c>
      <c r="N151" s="22">
        <v>68</v>
      </c>
      <c r="O151" s="150">
        <v>13</v>
      </c>
      <c r="P151" s="150">
        <v>13</v>
      </c>
      <c r="Q151" s="150">
        <v>13</v>
      </c>
      <c r="R151" s="268"/>
    </row>
    <row r="152" spans="2:257" ht="20" customHeight="1" x14ac:dyDescent="0.2">
      <c r="B152" s="150">
        <v>13</v>
      </c>
      <c r="C152" s="287">
        <v>87</v>
      </c>
      <c r="D152" s="151">
        <v>85</v>
      </c>
      <c r="E152" s="151">
        <v>85</v>
      </c>
      <c r="F152" s="287">
        <v>87</v>
      </c>
      <c r="G152" s="150">
        <v>13</v>
      </c>
      <c r="H152" s="150">
        <v>13</v>
      </c>
      <c r="I152" s="150">
        <v>13</v>
      </c>
      <c r="J152" s="150">
        <v>13</v>
      </c>
      <c r="K152" s="150">
        <v>13</v>
      </c>
      <c r="L152" s="287">
        <v>87</v>
      </c>
      <c r="M152" s="150">
        <v>13</v>
      </c>
      <c r="N152" s="22">
        <v>68</v>
      </c>
      <c r="O152" s="150">
        <v>13</v>
      </c>
      <c r="P152" s="150">
        <v>13</v>
      </c>
      <c r="Q152" s="150">
        <v>13</v>
      </c>
      <c r="R152" s="268"/>
    </row>
    <row r="153" spans="2:257" s="246" customFormat="1" ht="20" customHeight="1" x14ac:dyDescent="0.2">
      <c r="B153" s="150">
        <v>13</v>
      </c>
      <c r="C153" s="150">
        <v>13</v>
      </c>
      <c r="D153" s="150">
        <v>13</v>
      </c>
      <c r="E153" s="150">
        <v>13</v>
      </c>
      <c r="F153" s="150">
        <v>13</v>
      </c>
      <c r="G153" s="150">
        <v>13</v>
      </c>
      <c r="H153" s="150">
        <v>13</v>
      </c>
      <c r="I153" s="150">
        <v>13</v>
      </c>
      <c r="J153" s="150">
        <v>13</v>
      </c>
      <c r="K153" s="150">
        <v>13</v>
      </c>
      <c r="L153" s="150">
        <v>13</v>
      </c>
      <c r="M153" s="150">
        <v>13</v>
      </c>
      <c r="N153" s="22">
        <v>68</v>
      </c>
      <c r="O153" s="150">
        <v>13</v>
      </c>
      <c r="P153" s="150">
        <v>13</v>
      </c>
      <c r="Q153" s="150">
        <v>13</v>
      </c>
      <c r="R153" s="268"/>
      <c r="AG153" s="247"/>
      <c r="AW153" s="247"/>
      <c r="BM153" s="247"/>
      <c r="CC153" s="247"/>
      <c r="CS153" s="247"/>
      <c r="DI153" s="247"/>
      <c r="DY153" s="247"/>
      <c r="EO153" s="247"/>
      <c r="FE153" s="247"/>
      <c r="FU153" s="247"/>
      <c r="GK153" s="247"/>
      <c r="HA153" s="247"/>
      <c r="HQ153" s="247"/>
      <c r="IG153" s="247"/>
      <c r="IW153" s="247"/>
    </row>
    <row r="154" spans="2:257" ht="20" customHeight="1" x14ac:dyDescent="0.2">
      <c r="B154" s="150">
        <v>13</v>
      </c>
      <c r="C154" s="150">
        <v>13</v>
      </c>
      <c r="D154" s="150">
        <v>13</v>
      </c>
      <c r="E154" s="150">
        <v>13</v>
      </c>
      <c r="F154" s="150">
        <v>13</v>
      </c>
      <c r="G154" s="150">
        <v>13</v>
      </c>
      <c r="H154" s="150">
        <v>13</v>
      </c>
      <c r="I154" s="150">
        <v>13</v>
      </c>
      <c r="J154" s="150">
        <v>13</v>
      </c>
      <c r="K154" s="150">
        <v>13</v>
      </c>
      <c r="L154" s="150">
        <v>13</v>
      </c>
      <c r="M154" s="150">
        <v>13</v>
      </c>
      <c r="N154" s="22">
        <v>68</v>
      </c>
      <c r="O154" s="150">
        <v>13</v>
      </c>
      <c r="P154" s="150">
        <v>13</v>
      </c>
      <c r="Q154" s="150">
        <v>13</v>
      </c>
      <c r="R154" s="267">
        <v>0</v>
      </c>
    </row>
    <row r="155" spans="2:257" ht="20" customHeight="1" x14ac:dyDescent="0.2">
      <c r="B155" s="150">
        <v>13</v>
      </c>
      <c r="C155" s="150">
        <v>13</v>
      </c>
      <c r="D155" s="150">
        <v>13</v>
      </c>
      <c r="E155" s="150">
        <v>13</v>
      </c>
      <c r="F155" s="150">
        <v>13</v>
      </c>
      <c r="G155" s="150">
        <v>13</v>
      </c>
      <c r="H155" s="150">
        <v>13</v>
      </c>
      <c r="I155" s="150">
        <v>13</v>
      </c>
      <c r="J155" s="150">
        <v>13</v>
      </c>
      <c r="K155" s="150">
        <v>13</v>
      </c>
      <c r="L155" s="150">
        <v>13</v>
      </c>
      <c r="M155" s="189">
        <v>26</v>
      </c>
      <c r="N155" s="22">
        <v>68</v>
      </c>
      <c r="O155" s="189">
        <v>26</v>
      </c>
      <c r="P155" s="150">
        <v>13</v>
      </c>
      <c r="Q155" s="150">
        <v>13</v>
      </c>
      <c r="R155" s="268"/>
    </row>
    <row r="156" spans="2:257" ht="20" customHeight="1" x14ac:dyDescent="0.2">
      <c r="B156" s="150">
        <v>13</v>
      </c>
      <c r="C156" s="150">
        <v>13</v>
      </c>
      <c r="D156" s="150">
        <v>13</v>
      </c>
      <c r="E156" s="245">
        <v>14</v>
      </c>
      <c r="F156" s="150">
        <v>13</v>
      </c>
      <c r="G156" s="150">
        <v>13</v>
      </c>
      <c r="H156" s="150">
        <v>13</v>
      </c>
      <c r="I156" s="150">
        <v>13</v>
      </c>
      <c r="J156" s="150">
        <v>13</v>
      </c>
      <c r="K156" s="139">
        <v>35</v>
      </c>
      <c r="L156" s="64">
        <v>40</v>
      </c>
      <c r="M156" s="150">
        <v>13</v>
      </c>
      <c r="N156" s="150">
        <v>13</v>
      </c>
      <c r="O156" s="150">
        <v>13</v>
      </c>
      <c r="P156" s="64">
        <v>40</v>
      </c>
      <c r="Q156" s="150">
        <v>13</v>
      </c>
      <c r="R156" s="268"/>
    </row>
    <row r="157" spans="2:257" ht="20" customHeight="1" x14ac:dyDescent="0.2">
      <c r="B157" s="150">
        <v>13</v>
      </c>
      <c r="C157" s="150">
        <v>13</v>
      </c>
      <c r="D157" s="150">
        <v>13</v>
      </c>
      <c r="E157" s="150">
        <v>13</v>
      </c>
      <c r="F157" s="150">
        <v>13</v>
      </c>
      <c r="G157" s="150">
        <v>13</v>
      </c>
      <c r="H157" s="150">
        <v>13</v>
      </c>
      <c r="I157" s="150">
        <v>13</v>
      </c>
      <c r="J157" s="169">
        <v>40</v>
      </c>
      <c r="K157" s="150">
        <v>13</v>
      </c>
      <c r="L157" s="287">
        <v>87</v>
      </c>
      <c r="M157" s="151">
        <v>85</v>
      </c>
      <c r="N157" s="151">
        <v>85</v>
      </c>
      <c r="O157" s="151">
        <v>85</v>
      </c>
      <c r="P157" s="287">
        <v>87</v>
      </c>
      <c r="Q157" s="150">
        <v>13</v>
      </c>
      <c r="R157" s="268"/>
    </row>
    <row r="158" spans="2:257" ht="20" customHeight="1" x14ac:dyDescent="0.2">
      <c r="B158" s="150">
        <v>13</v>
      </c>
      <c r="C158" s="150">
        <v>13</v>
      </c>
      <c r="D158" s="150">
        <v>13</v>
      </c>
      <c r="E158" s="196">
        <v>122</v>
      </c>
      <c r="F158" s="150">
        <v>13</v>
      </c>
      <c r="G158" s="150">
        <v>13</v>
      </c>
      <c r="H158" s="150">
        <v>13</v>
      </c>
      <c r="I158" s="139">
        <v>35</v>
      </c>
      <c r="J158" s="287">
        <v>87</v>
      </c>
      <c r="K158" s="150">
        <v>13</v>
      </c>
      <c r="L158" s="150">
        <v>13</v>
      </c>
      <c r="M158" s="150">
        <v>13</v>
      </c>
      <c r="N158" s="150">
        <v>13</v>
      </c>
      <c r="O158" s="150">
        <v>13</v>
      </c>
      <c r="P158" s="150">
        <v>13</v>
      </c>
      <c r="Q158" s="150">
        <v>13</v>
      </c>
      <c r="R158" s="268"/>
    </row>
    <row r="159" spans="2:257" ht="20" customHeight="1" x14ac:dyDescent="0.2">
      <c r="B159" s="150">
        <v>13</v>
      </c>
      <c r="C159" s="150">
        <v>13</v>
      </c>
      <c r="D159" s="150">
        <v>13</v>
      </c>
      <c r="E159" s="200">
        <v>90</v>
      </c>
      <c r="F159" s="150">
        <v>13</v>
      </c>
      <c r="G159" s="150">
        <v>13</v>
      </c>
      <c r="H159" s="169">
        <v>40</v>
      </c>
      <c r="I159" s="150">
        <v>13</v>
      </c>
      <c r="J159" s="150">
        <v>13</v>
      </c>
      <c r="K159" s="150">
        <v>13</v>
      </c>
      <c r="L159" s="150">
        <v>13</v>
      </c>
      <c r="M159" s="150">
        <v>13</v>
      </c>
      <c r="N159" s="150">
        <v>13</v>
      </c>
      <c r="O159" s="150">
        <v>13</v>
      </c>
      <c r="P159" s="150">
        <v>13</v>
      </c>
      <c r="Q159" s="150">
        <v>13</v>
      </c>
      <c r="R159" s="268"/>
    </row>
    <row r="160" spans="2:257" ht="20" customHeight="1" x14ac:dyDescent="0.2">
      <c r="B160" s="150">
        <v>13</v>
      </c>
      <c r="C160" s="150">
        <v>13</v>
      </c>
      <c r="D160" s="150">
        <v>13</v>
      </c>
      <c r="E160" s="150">
        <v>13</v>
      </c>
      <c r="F160" s="150">
        <v>13</v>
      </c>
      <c r="G160" s="150">
        <v>13</v>
      </c>
      <c r="H160" s="287">
        <v>87</v>
      </c>
      <c r="I160" s="150">
        <v>13</v>
      </c>
      <c r="J160" s="150">
        <v>13</v>
      </c>
      <c r="K160" s="150">
        <v>13</v>
      </c>
      <c r="L160" s="150">
        <v>13</v>
      </c>
      <c r="M160" s="150">
        <v>13</v>
      </c>
      <c r="N160" s="150">
        <v>13</v>
      </c>
      <c r="O160" s="150">
        <v>13</v>
      </c>
      <c r="P160" s="150">
        <v>13</v>
      </c>
      <c r="Q160" s="150">
        <v>13</v>
      </c>
      <c r="R160" s="268"/>
    </row>
    <row r="161" spans="2:18" ht="20" customHeight="1" x14ac:dyDescent="0.2">
      <c r="B161" s="150">
        <v>13</v>
      </c>
      <c r="C161" s="150">
        <v>13</v>
      </c>
      <c r="D161" s="150">
        <v>13</v>
      </c>
      <c r="E161" s="150">
        <v>13</v>
      </c>
      <c r="F161" s="150">
        <v>13</v>
      </c>
      <c r="G161" s="150">
        <v>13</v>
      </c>
      <c r="H161" s="150">
        <v>13</v>
      </c>
      <c r="I161" s="132">
        <v>115</v>
      </c>
      <c r="J161" s="150">
        <v>13</v>
      </c>
      <c r="K161" s="132">
        <v>115</v>
      </c>
      <c r="L161" s="150">
        <v>13</v>
      </c>
      <c r="M161" s="150">
        <v>13</v>
      </c>
      <c r="N161" s="150">
        <v>13</v>
      </c>
      <c r="O161" s="150">
        <v>13</v>
      </c>
      <c r="P161" s="150">
        <v>13</v>
      </c>
      <c r="Q161" s="150">
        <v>13</v>
      </c>
      <c r="R161" s="268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40">
        <v>48</v>
      </c>
      <c r="H162" s="140">
        <v>48</v>
      </c>
      <c r="I162" s="140">
        <v>48</v>
      </c>
      <c r="J162" s="140">
        <v>48</v>
      </c>
      <c r="K162" s="140">
        <v>48</v>
      </c>
      <c r="L162" s="140">
        <v>48</v>
      </c>
      <c r="M162" s="140">
        <v>48</v>
      </c>
      <c r="N162" s="140">
        <v>48</v>
      </c>
      <c r="O162" s="140">
        <v>48</v>
      </c>
      <c r="P162" s="140">
        <v>48</v>
      </c>
      <c r="Q162" s="140">
        <v>48</v>
      </c>
      <c r="R162" s="268"/>
    </row>
    <row r="165" spans="2:18" ht="20" customHeight="1" x14ac:dyDescent="0.2">
      <c r="C165" s="226" t="s">
        <v>167</v>
      </c>
      <c r="D165" s="226"/>
      <c r="E165" s="226"/>
      <c r="F165" s="285">
        <f>COUNTIF($B$2:$IW$10,40)</f>
        <v>100</v>
      </c>
      <c r="G165" s="286">
        <v>100</v>
      </c>
    </row>
    <row r="166" spans="2:18" ht="20" customHeight="1" x14ac:dyDescent="0.2">
      <c r="C166" s="226" t="s">
        <v>168</v>
      </c>
      <c r="D166" s="226"/>
      <c r="E166" s="226"/>
      <c r="F166" s="285">
        <f>COUNTIF($B$2:$IW$10,121) + COUNTIF($B$2:$IW$10,122)</f>
        <v>6</v>
      </c>
      <c r="G166" s="286">
        <v>4</v>
      </c>
    </row>
    <row r="167" spans="2:18" ht="20" customHeight="1" x14ac:dyDescent="0.2">
      <c r="C167" s="226" t="s">
        <v>169</v>
      </c>
      <c r="D167" s="226"/>
      <c r="E167" s="226"/>
      <c r="F167" s="285">
        <f>COUNTIF($B$2:$IW$10,123) + COUNTIF($B$2:$IW$10,124)</f>
        <v>7</v>
      </c>
      <c r="G167" s="286">
        <v>4</v>
      </c>
    </row>
    <row r="168" spans="2:18" ht="20" customHeight="1" x14ac:dyDescent="0.2">
      <c r="C168" s="226" t="s">
        <v>170</v>
      </c>
      <c r="D168" s="226"/>
      <c r="E168" s="226"/>
      <c r="F168" s="285">
        <f>COUNTIF($B$2:$IW$10,125) + COUNTIF($B$2:$IW$10,126)</f>
        <v>1</v>
      </c>
      <c r="G168" s="286">
        <v>1</v>
      </c>
    </row>
    <row r="169" spans="2:18" ht="20" customHeight="1" x14ac:dyDescent="0.2">
      <c r="C169" s="226" t="s">
        <v>171</v>
      </c>
      <c r="D169" s="226"/>
      <c r="E169" s="226"/>
      <c r="F169" s="285">
        <f>COUNTIF($B$2:$IW$10,41) + COUNTIF($B$2:$IW$10,42)+COUNTIF($B$2:$IW$10,43) + COUNTIF($B$2:$IW$10,44)+COUNTIF($B$2:$IW$10,45) + COUNTIF($B$2:$IW$10,46)</f>
        <v>6</v>
      </c>
      <c r="G169" s="286">
        <v>6</v>
      </c>
    </row>
    <row r="170" spans="2:18" ht="20" customHeight="1" x14ac:dyDescent="0.2">
      <c r="C170" s="226" t="s">
        <v>172</v>
      </c>
      <c r="D170" s="226"/>
      <c r="E170" s="226"/>
      <c r="F170" s="285">
        <f>COUNTIF($B$2:$IW$10,47)</f>
        <v>1</v>
      </c>
      <c r="G170" s="286">
        <v>1</v>
      </c>
    </row>
    <row r="171" spans="2:18" ht="20" customHeight="1" x14ac:dyDescent="0.2">
      <c r="C171" s="226" t="s">
        <v>173</v>
      </c>
      <c r="D171" s="226"/>
      <c r="E171" s="226"/>
      <c r="F171" s="285">
        <f>COUNTIF($B$2:$IW$10,36) + COUNTIF($B$2:$IW$10,37)+COUNTIF($B$2:$IW$10,38) + COUNTIF($B$2:$IW$10,39)</f>
        <v>4</v>
      </c>
      <c r="G171" s="286">
        <v>4</v>
      </c>
    </row>
    <row r="172" spans="2:18" ht="20" customHeight="1" x14ac:dyDescent="0.2">
      <c r="C172" s="226" t="s">
        <v>174</v>
      </c>
      <c r="D172" s="226"/>
      <c r="E172" s="226"/>
      <c r="F172" s="285">
        <f>COUNTIF($B$2:$IW$10,72) + COUNTIF($B$2:$IW$10,73)+COUNTIF($B$2:$IW$10,74) + COUNTIF($B$2:$IW$10,75)</f>
        <v>4</v>
      </c>
      <c r="G172" s="286">
        <v>4</v>
      </c>
    </row>
  </sheetData>
  <mergeCells count="16"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  <mergeCell ref="R154:R162"/>
    <mergeCell ref="R145:R153"/>
    <mergeCell ref="R136:R144"/>
    <mergeCell ref="R127:R135"/>
    <mergeCell ref="R118:R126"/>
    <mergeCell ref="R109:R117"/>
  </mergeCell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TILE INFO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2018-01-30T03:03:01Z</dcterms:modified>
</cp:coreProperties>
</file>
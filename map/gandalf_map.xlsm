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3" l="1"/>
  <c r="E59" i="14"/>
  <c r="E64" i="14"/>
  <c r="E63" i="14"/>
  <c r="E62" i="14"/>
  <c r="E61" i="14"/>
  <c r="E60" i="14"/>
  <c r="E58" i="14"/>
  <c r="E57" i="14"/>
  <c r="X26" i="13"/>
  <c r="X25" i="13"/>
  <c r="X23" i="13"/>
  <c r="X24" i="13"/>
  <c r="X22" i="13"/>
  <c r="X20" i="13"/>
  <c r="X19" i="13"/>
  <c r="X21" i="16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<sst xmlns="http://schemas.openxmlformats.org/spreadsheetml/2006/main" count="211" uniqueCount="185">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</sst>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</fills>
  <borders count="1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7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1" borderId="5" xfId="0" applyFont="1" applyFill="1" applyBorder="1" applyAlignment="1">
      <alignment horizontal="center"/>
    </xf>
    <xf numFmtId="0" fontId="26" fillId="21" borderId="0" xfId="0" applyFont="1" applyFill="1" applyBorder="1" applyAlignment="1">
      <alignment horizontal="center"/>
    </xf>
    <xf numFmtId="0" fontId="26" fillId="21" borderId="4" xfId="0" applyFont="1" applyFill="1" applyBorder="1" applyAlignment="1">
      <alignment horizontal="center"/>
    </xf>
    <xf numFmtId="0" fontId="5" fillId="21" borderId="0" xfId="0" applyFont="1" applyFill="1" applyBorder="1" applyAlignment="1">
      <alignment horizontal="center"/>
    </xf>
    <xf numFmtId="0" fontId="5" fillId="21" borderId="1" xfId="0" applyFont="1" applyFill="1" applyBorder="1" applyAlignment="1">
      <alignment horizontal="center"/>
    </xf>
    <xf numFmtId="0" fontId="26" fillId="21" borderId="3" xfId="0" applyFont="1" applyFill="1" applyBorder="1" applyAlignment="1">
      <alignment horizontal="center"/>
    </xf>
    <xf numFmtId="0" fontId="26" fillId="21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8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horizontal="center" vertical="center"/>
    </xf>
    <xf numFmtId="0" fontId="10" fillId="23" borderId="0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/>
    </xf>
    <xf numFmtId="0" fontId="5" fillId="24" borderId="10" xfId="0" applyFont="1" applyFill="1" applyBorder="1" applyAlignment="1">
      <alignment horizontal="center"/>
    </xf>
    <xf numFmtId="0" fontId="5" fillId="24" borderId="13" xfId="0" applyFont="1" applyFill="1" applyBorder="1" applyAlignment="1">
      <alignment horizontal="center"/>
    </xf>
    <xf numFmtId="0" fontId="5" fillId="25" borderId="6" xfId="0" applyFont="1" applyFill="1" applyBorder="1"/>
    <xf numFmtId="0" fontId="5" fillId="25" borderId="7" xfId="0" applyFont="1" applyFill="1" applyBorder="1"/>
    <xf numFmtId="0" fontId="5" fillId="25" borderId="9" xfId="0" applyFont="1" applyFill="1" applyBorder="1"/>
    <xf numFmtId="0" fontId="5" fillId="25" borderId="0" xfId="0" applyFont="1" applyFill="1" applyBorder="1"/>
    <xf numFmtId="0" fontId="5" fillId="25" borderId="11" xfId="0" applyFont="1" applyFill="1" applyBorder="1"/>
    <xf numFmtId="0" fontId="5" fillId="25" borderId="12" xfId="0" applyFont="1" applyFill="1" applyBorder="1"/>
    <xf numFmtId="0" fontId="5" fillId="13" borderId="14" xfId="0" applyFont="1" applyFill="1" applyBorder="1" applyAlignment="1">
      <alignment horizontal="center"/>
    </xf>
    <xf numFmtId="0" fontId="5" fillId="13" borderId="15" xfId="0" applyFont="1" applyFill="1" applyBorder="1" applyAlignment="1">
      <alignment horizontal="center"/>
    </xf>
    <xf numFmtId="0" fontId="5" fillId="13" borderId="16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12700</xdr:rowOff>
        </xdr:from>
        <xdr:to>
          <xdr:col>10</xdr:col>
          <xdr:colOff>228600</xdr:colOff>
          <xdr:row>13</xdr:row>
          <xdr:rowOff>76200</xdr:rowOff>
        </xdr:to>
        <xdr:sp macro="" textlink="">
          <xdr:nvSpPr>
            <xdr:cNvPr id="21506" name="Button 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workbookViewId="0">
      <selection activeCell="DG7" sqref="DG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23" width="3.7109375" style="1"/>
    <col min="24" max="24" width="4.42578125" style="1" bestFit="1" customWidth="1"/>
    <col min="25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4">
        <v>0</v>
      </c>
      <c r="AH2" s="4">
        <v>0</v>
      </c>
      <c r="AI2" s="4">
        <v>0</v>
      </c>
      <c r="AJ2" s="4">
        <v>0</v>
      </c>
      <c r="AK2" s="11">
        <v>40</v>
      </c>
      <c r="AL2" s="4">
        <v>0</v>
      </c>
      <c r="AM2" s="126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6">
        <v>7</v>
      </c>
      <c r="E3" s="6">
        <v>8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4">
        <v>0</v>
      </c>
      <c r="AH3" s="4">
        <v>0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4">
        <v>0</v>
      </c>
      <c r="EH3" s="4">
        <v>0</v>
      </c>
      <c r="EI3" s="11">
        <v>40</v>
      </c>
      <c r="EJ3" s="4">
        <v>0</v>
      </c>
      <c r="EK3" s="57">
        <v>35</v>
      </c>
      <c r="EL3" s="4">
        <v>0</v>
      </c>
      <c r="EM3" s="4">
        <v>0</v>
      </c>
      <c r="EN3" s="4">
        <v>0</v>
      </c>
      <c r="EO3" s="5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89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89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33">
        <v>38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6">
        <v>9</v>
      </c>
      <c r="E4" s="6">
        <v>10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11">
        <v>40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0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0">
        <v>58</v>
      </c>
      <c r="AS4" s="7">
        <v>0</v>
      </c>
      <c r="AT4" s="4">
        <v>0</v>
      </c>
      <c r="AU4" s="12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4">
        <v>0</v>
      </c>
      <c r="EH4" s="4">
        <v>0</v>
      </c>
      <c r="EI4" s="11">
        <v>40</v>
      </c>
      <c r="EJ4" s="11">
        <v>40</v>
      </c>
      <c r="EK4" s="67">
        <v>108</v>
      </c>
      <c r="EL4" s="4">
        <v>0</v>
      </c>
      <c r="EM4" s="4">
        <v>0</v>
      </c>
      <c r="EN4" s="6">
        <v>7</v>
      </c>
      <c r="EO4" s="53">
        <v>8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89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89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5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11">
        <v>40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11">
        <v>40</v>
      </c>
      <c r="H5" s="4">
        <v>0</v>
      </c>
      <c r="I5" s="4">
        <v>0</v>
      </c>
      <c r="J5" s="4">
        <v>0</v>
      </c>
      <c r="K5" s="8">
        <v>60</v>
      </c>
      <c r="L5" s="4">
        <v>0</v>
      </c>
      <c r="M5" s="4">
        <v>0</v>
      </c>
      <c r="N5" s="11">
        <v>40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4">
        <v>0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1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127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5">
        <v>61</v>
      </c>
      <c r="DQ5" s="85">
        <v>61</v>
      </c>
      <c r="DR5" s="85">
        <v>61</v>
      </c>
      <c r="DS5" s="85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6">
        <v>9</v>
      </c>
      <c r="EO5" s="53">
        <v>10</v>
      </c>
      <c r="EP5" s="4">
        <v>0</v>
      </c>
      <c r="EQ5" s="4">
        <v>0</v>
      </c>
      <c r="ER5" s="126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89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89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128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66">
        <v>116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11">
        <v>40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8">
        <v>60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4">
        <v>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78">
        <v>29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6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5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127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126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5">
        <v>58</v>
      </c>
      <c r="IA6" s="4">
        <v>0</v>
      </c>
      <c r="IB6" s="4">
        <v>0</v>
      </c>
      <c r="IC6" s="4">
        <v>0</v>
      </c>
      <c r="ID6" s="66">
        <v>116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11">
        <v>40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57">
        <v>35</v>
      </c>
      <c r="H7" s="4">
        <v>0</v>
      </c>
      <c r="I7" s="11">
        <v>40</v>
      </c>
      <c r="J7" s="68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86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86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126">
        <v>122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78">
        <v>29</v>
      </c>
      <c r="CR7" s="9">
        <v>52</v>
      </c>
      <c r="CS7" s="9">
        <v>52</v>
      </c>
      <c r="CT7" s="9">
        <v>52</v>
      </c>
      <c r="CU7" s="9">
        <v>52</v>
      </c>
      <c r="CV7" s="78">
        <v>29</v>
      </c>
      <c r="CW7" s="9">
        <v>52</v>
      </c>
      <c r="CX7" s="78">
        <v>29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122</v>
      </c>
      <c r="DH7" s="4">
        <v>0</v>
      </c>
      <c r="DI7" s="4">
        <v>0</v>
      </c>
      <c r="DJ7" s="4">
        <v>0</v>
      </c>
      <c r="DK7" s="87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7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12">
        <v>86</v>
      </c>
      <c r="FF7" s="12">
        <v>86</v>
      </c>
      <c r="FG7" s="9">
        <v>52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88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89">
        <v>34</v>
      </c>
      <c r="GN7" s="67">
        <v>108</v>
      </c>
      <c r="GO7" s="79">
        <v>32</v>
      </c>
      <c r="GP7" s="67">
        <v>108</v>
      </c>
      <c r="GQ7" s="89">
        <v>34</v>
      </c>
      <c r="GR7" s="4">
        <v>0</v>
      </c>
      <c r="GS7" s="4">
        <v>0</v>
      </c>
      <c r="GT7" s="4">
        <v>0</v>
      </c>
      <c r="GU7" s="89">
        <v>34</v>
      </c>
      <c r="GV7" s="67">
        <v>108</v>
      </c>
      <c r="GW7" s="79">
        <v>32</v>
      </c>
      <c r="GX7" s="67">
        <v>108</v>
      </c>
      <c r="GY7" s="89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89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11">
        <v>40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89">
        <v>32</v>
      </c>
      <c r="F8" s="4">
        <v>0</v>
      </c>
      <c r="G8" s="85">
        <v>61</v>
      </c>
      <c r="H8" s="15">
        <v>70</v>
      </c>
      <c r="I8" s="85">
        <v>61</v>
      </c>
      <c r="J8" s="85">
        <v>61</v>
      </c>
      <c r="K8" s="85">
        <v>61</v>
      </c>
      <c r="L8" s="85">
        <v>61</v>
      </c>
      <c r="M8" s="15">
        <v>70</v>
      </c>
      <c r="N8" s="85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86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86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6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6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12">
        <v>86</v>
      </c>
      <c r="FF8" s="12">
        <v>86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89">
        <v>34</v>
      </c>
      <c r="GN8" s="4">
        <v>0</v>
      </c>
      <c r="GO8" s="79">
        <v>32</v>
      </c>
      <c r="GP8" s="4">
        <v>0</v>
      </c>
      <c r="GQ8" s="89">
        <v>34</v>
      </c>
      <c r="GR8" s="4">
        <v>0</v>
      </c>
      <c r="GS8" s="105">
        <v>58</v>
      </c>
      <c r="GT8" s="4">
        <v>0</v>
      </c>
      <c r="GU8" s="89">
        <v>34</v>
      </c>
      <c r="GV8" s="4">
        <v>0</v>
      </c>
      <c r="GW8" s="79">
        <v>32</v>
      </c>
      <c r="GX8" s="4">
        <v>0</v>
      </c>
      <c r="GY8" s="89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89">
        <v>34</v>
      </c>
      <c r="HW8" s="4">
        <v>0</v>
      </c>
      <c r="HX8" s="18">
        <v>5</v>
      </c>
      <c r="HY8" s="18">
        <v>6</v>
      </c>
      <c r="HZ8" s="7">
        <v>0</v>
      </c>
      <c r="IA8" s="105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11">
        <v>40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89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78">
        <v>29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127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127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144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127">
        <v>45</v>
      </c>
      <c r="FC9" s="78">
        <v>29</v>
      </c>
      <c r="FD9" s="127">
        <v>42</v>
      </c>
      <c r="FE9" s="11">
        <v>40</v>
      </c>
      <c r="FF9" s="28">
        <v>73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89">
        <v>33</v>
      </c>
      <c r="GN9" s="11">
        <v>40</v>
      </c>
      <c r="GO9" s="79">
        <v>33</v>
      </c>
      <c r="GP9" s="11">
        <v>40</v>
      </c>
      <c r="GQ9" s="89">
        <v>33</v>
      </c>
      <c r="GR9" s="4">
        <v>0</v>
      </c>
      <c r="GS9" s="4">
        <v>0</v>
      </c>
      <c r="GT9" s="4">
        <v>0</v>
      </c>
      <c r="GU9" s="89">
        <v>33</v>
      </c>
      <c r="GV9" s="11">
        <v>40</v>
      </c>
      <c r="GW9" s="79">
        <v>33</v>
      </c>
      <c r="GX9" s="11">
        <v>40</v>
      </c>
      <c r="GY9" s="89">
        <v>33</v>
      </c>
      <c r="GZ9" s="90">
        <v>29</v>
      </c>
      <c r="HA9" s="90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4">
        <v>0</v>
      </c>
      <c r="HN9" s="4">
        <v>0</v>
      </c>
      <c r="HO9" s="19">
        <v>25</v>
      </c>
      <c r="HP9" s="4">
        <v>0</v>
      </c>
      <c r="HQ9" s="33">
        <v>74</v>
      </c>
      <c r="HR9" s="90">
        <v>29</v>
      </c>
      <c r="HS9" s="143">
        <v>35</v>
      </c>
      <c r="HT9" s="4">
        <v>0</v>
      </c>
      <c r="HU9" s="91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2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20">
        <v>48</v>
      </c>
      <c r="CR10" s="20">
        <v>48</v>
      </c>
      <c r="CS10" s="20">
        <v>48</v>
      </c>
      <c r="CT10" s="20">
        <v>48</v>
      </c>
      <c r="CU10" s="20">
        <v>48</v>
      </c>
      <c r="CV10" s="20">
        <v>48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45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83</v>
      </c>
      <c r="EY10" s="20">
        <v>48</v>
      </c>
      <c r="EZ10" s="17">
        <v>81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82</v>
      </c>
      <c r="FG10" s="17">
        <v>83</v>
      </c>
      <c r="FH10" s="20">
        <v>48</v>
      </c>
      <c r="FI10" s="12">
        <v>86</v>
      </c>
      <c r="FJ10" s="20">
        <v>48</v>
      </c>
      <c r="FK10" s="20">
        <v>48</v>
      </c>
      <c r="FL10" s="12">
        <v>86</v>
      </c>
      <c r="FM10" s="20">
        <v>48</v>
      </c>
      <c r="FN10" s="20">
        <v>48</v>
      </c>
      <c r="FO10" s="12">
        <v>86</v>
      </c>
      <c r="FP10" s="20">
        <v>48</v>
      </c>
      <c r="FQ10" s="20">
        <v>48</v>
      </c>
      <c r="FR10" s="12">
        <v>86</v>
      </c>
      <c r="FS10" s="20">
        <v>48</v>
      </c>
      <c r="FT10" s="20">
        <v>48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20">
        <v>48</v>
      </c>
      <c r="GS10" s="20">
        <v>48</v>
      </c>
      <c r="GT10" s="20">
        <v>48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20">
        <v>48</v>
      </c>
      <c r="HZ10" s="20">
        <v>48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4"/>
      <c r="B11" s="115" t="s">
        <v>166</v>
      </c>
      <c r="C11" s="115"/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6"/>
      <c r="R11" s="115" t="s">
        <v>167</v>
      </c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6"/>
      <c r="AH11" s="117" t="s">
        <v>168</v>
      </c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4"/>
      <c r="AX11" s="112" t="s">
        <v>169</v>
      </c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  <c r="BK11" s="118"/>
      <c r="BL11" s="118"/>
      <c r="BM11" s="114"/>
      <c r="BN11" s="112" t="s">
        <v>154</v>
      </c>
      <c r="BO11" s="118"/>
      <c r="BP11" s="118"/>
      <c r="BQ11" s="118"/>
      <c r="BR11" s="118"/>
      <c r="BS11" s="118"/>
      <c r="BT11" s="118"/>
      <c r="BU11" s="118"/>
      <c r="BV11" s="118"/>
      <c r="BW11" s="118"/>
      <c r="BX11" s="118"/>
      <c r="BY11" s="118"/>
      <c r="BZ11" s="118"/>
      <c r="CA11" s="118"/>
      <c r="CB11" s="118"/>
      <c r="CC11" s="114"/>
      <c r="CD11" s="112" t="s">
        <v>155</v>
      </c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14"/>
      <c r="CT11" s="112" t="s">
        <v>156</v>
      </c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4"/>
      <c r="DJ11" s="112" t="s">
        <v>157</v>
      </c>
      <c r="DK11" s="113"/>
      <c r="DL11" s="113"/>
      <c r="DM11" s="113"/>
      <c r="DN11" s="113"/>
      <c r="DO11" s="113"/>
      <c r="DP11" s="113"/>
      <c r="DQ11" s="113"/>
      <c r="DR11" s="113"/>
      <c r="DS11" s="113"/>
      <c r="DT11" s="113"/>
      <c r="DU11" s="113"/>
      <c r="DV11" s="113"/>
      <c r="DW11" s="113"/>
      <c r="DX11" s="113"/>
      <c r="DY11" s="114"/>
      <c r="DZ11" s="112" t="s">
        <v>158</v>
      </c>
      <c r="EA11" s="113"/>
      <c r="EB11" s="113"/>
      <c r="EC11" s="113"/>
      <c r="ED11" s="113"/>
      <c r="EE11" s="113"/>
      <c r="EF11" s="113"/>
      <c r="EG11" s="113"/>
      <c r="EH11" s="113"/>
      <c r="EI11" s="113"/>
      <c r="EJ11" s="113"/>
      <c r="EK11" s="113"/>
      <c r="EL11" s="113"/>
      <c r="EM11" s="113"/>
      <c r="EN11" s="113"/>
      <c r="EO11" s="114"/>
      <c r="EP11" s="112" t="s">
        <v>159</v>
      </c>
      <c r="EQ11" s="113"/>
      <c r="ER11" s="113"/>
      <c r="ES11" s="113"/>
      <c r="ET11" s="113"/>
      <c r="EU11" s="113"/>
      <c r="EV11" s="113"/>
      <c r="EW11" s="113"/>
      <c r="EX11" s="113"/>
      <c r="EY11" s="113"/>
      <c r="EZ11" s="113"/>
      <c r="FA11" s="113"/>
      <c r="FB11" s="113"/>
      <c r="FC11" s="113"/>
      <c r="FD11" s="113"/>
      <c r="FE11" s="114"/>
      <c r="FF11" s="112" t="s">
        <v>160</v>
      </c>
      <c r="FG11" s="113"/>
      <c r="FH11" s="113"/>
      <c r="FI11" s="113"/>
      <c r="FJ11" s="113"/>
      <c r="FK11" s="113"/>
      <c r="FL11" s="113"/>
      <c r="FM11" s="113"/>
      <c r="FN11" s="113"/>
      <c r="FO11" s="113"/>
      <c r="FP11" s="113"/>
      <c r="FQ11" s="113"/>
      <c r="FR11" s="113"/>
      <c r="FS11" s="113"/>
      <c r="FT11" s="113"/>
      <c r="FU11" s="114"/>
      <c r="FV11" s="112" t="s">
        <v>161</v>
      </c>
      <c r="FW11" s="113"/>
      <c r="FX11" s="113"/>
      <c r="FY11" s="113"/>
      <c r="FZ11" s="113"/>
      <c r="GA11" s="113"/>
      <c r="GB11" s="113"/>
      <c r="GC11" s="113"/>
      <c r="GD11" s="113"/>
      <c r="GE11" s="113"/>
      <c r="GF11" s="113"/>
      <c r="GG11" s="113"/>
      <c r="GH11" s="113"/>
      <c r="GI11" s="113"/>
      <c r="GJ11" s="113"/>
      <c r="GK11" s="114"/>
      <c r="GL11" s="112" t="s">
        <v>162</v>
      </c>
      <c r="GM11" s="113"/>
      <c r="GN11" s="113"/>
      <c r="GO11" s="113"/>
      <c r="GP11" s="113"/>
      <c r="GQ11" s="113"/>
      <c r="GR11" s="113"/>
      <c r="GS11" s="113"/>
      <c r="GT11" s="113"/>
      <c r="GU11" s="113"/>
      <c r="GV11" s="113"/>
      <c r="GW11" s="113"/>
      <c r="GX11" s="113"/>
      <c r="GY11" s="113"/>
      <c r="GZ11" s="113"/>
      <c r="HA11" s="114"/>
      <c r="HB11" s="112" t="s">
        <v>163</v>
      </c>
      <c r="HC11" s="113"/>
      <c r="HD11" s="113"/>
      <c r="HE11" s="113"/>
      <c r="HF11" s="113"/>
      <c r="HG11" s="113"/>
      <c r="HH11" s="113"/>
      <c r="HI11" s="113"/>
      <c r="HJ11" s="113"/>
      <c r="HK11" s="113"/>
      <c r="HL11" s="113"/>
      <c r="HM11" s="113"/>
      <c r="HN11" s="113"/>
      <c r="HO11" s="113"/>
      <c r="HP11" s="113"/>
      <c r="HQ11" s="114"/>
      <c r="HR11" s="112" t="s">
        <v>164</v>
      </c>
      <c r="HS11" s="113"/>
      <c r="HT11" s="113"/>
      <c r="HU11" s="113"/>
      <c r="HV11" s="113"/>
      <c r="HW11" s="113"/>
      <c r="HX11" s="113"/>
      <c r="HY11" s="113"/>
      <c r="HZ11" s="113"/>
      <c r="IA11" s="113"/>
      <c r="IB11" s="113"/>
      <c r="IC11" s="113"/>
      <c r="ID11" s="113"/>
      <c r="IE11" s="113"/>
      <c r="IF11" s="113"/>
      <c r="IG11" s="114"/>
      <c r="IH11" s="112" t="s">
        <v>165</v>
      </c>
      <c r="II11" s="113"/>
      <c r="IJ11" s="113"/>
      <c r="IK11" s="113"/>
      <c r="IL11" s="113"/>
      <c r="IM11" s="113"/>
      <c r="IN11" s="113"/>
      <c r="IO11" s="113"/>
      <c r="IP11" s="113"/>
      <c r="IQ11" s="113"/>
      <c r="IR11" s="113"/>
      <c r="IS11" s="113"/>
      <c r="IT11" s="113"/>
      <c r="IU11" s="113"/>
      <c r="IV11" s="113"/>
      <c r="IW11" s="114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thickBot="1" x14ac:dyDescent="0.25"/>
    <row r="19" spans="2:2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  <c r="U19" s="134" t="s">
        <v>177</v>
      </c>
      <c r="V19" s="135"/>
      <c r="W19" s="135"/>
      <c r="X19" s="140">
        <f>COUNTIF($B$2:$IW$10,40)</f>
        <v>100</v>
      </c>
      <c r="Y19" s="131">
        <v>100</v>
      </c>
    </row>
    <row r="20" spans="2:25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  <c r="U20" s="136" t="s">
        <v>178</v>
      </c>
      <c r="V20" s="137"/>
      <c r="W20" s="137"/>
      <c r="X20" s="141">
        <f>COUNTIF($B$2:$IW$10,120) + COUNTIF($B$2:$IW$10,121)</f>
        <v>3</v>
      </c>
      <c r="Y20" s="132">
        <v>4</v>
      </c>
    </row>
    <row r="21" spans="2:25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  <c r="U21" s="136" t="s">
        <v>179</v>
      </c>
      <c r="V21" s="137"/>
      <c r="W21" s="137"/>
      <c r="X21" s="141">
        <f>COUNTIF($B$2:$IW$10,122) + COUNTIF($B$2:$IW$10,123)</f>
        <v>5</v>
      </c>
      <c r="Y21" s="132">
        <v>4</v>
      </c>
    </row>
    <row r="22" spans="2:25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U22" s="136" t="s">
        <v>180</v>
      </c>
      <c r="V22" s="137"/>
      <c r="W22" s="137"/>
      <c r="X22" s="141">
        <f>COUNTIF($B$2:$IW$10,125) + COUNTIF($B$2:$IW$10,126)</f>
        <v>1</v>
      </c>
      <c r="Y22" s="132">
        <v>1</v>
      </c>
    </row>
    <row r="23" spans="2:25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U23" s="136" t="s">
        <v>181</v>
      </c>
      <c r="V23" s="137"/>
      <c r="W23" s="137"/>
      <c r="X23" s="141">
        <f>COUNTIF($B$2:$IW$10,41) + COUNTIF($B$2:$IW$10,42)+COUNTIF($B$2:$IW$10,43) + COUNTIF($B$2:$IW$10,44)+COUNTIF($B$2:$IW$10,45) + COUNTIF($B$2:$IW$10,46)</f>
        <v>6</v>
      </c>
      <c r="Y23" s="132">
        <v>6</v>
      </c>
    </row>
    <row r="24" spans="2:25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  <c r="U24" s="136" t="s">
        <v>182</v>
      </c>
      <c r="V24" s="137"/>
      <c r="W24" s="137"/>
      <c r="X24" s="141">
        <f>COUNTIF($B$2:$IW$10,47)</f>
        <v>1</v>
      </c>
      <c r="Y24" s="132">
        <v>1</v>
      </c>
    </row>
    <row r="25" spans="2:25" ht="12" customHeight="1" x14ac:dyDescent="0.2">
      <c r="B25" s="4">
        <v>0</v>
      </c>
      <c r="C25" s="4">
        <v>0</v>
      </c>
      <c r="D25" s="4">
        <v>0</v>
      </c>
      <c r="E25" s="89">
        <v>32</v>
      </c>
      <c r="F25" s="4">
        <v>0</v>
      </c>
      <c r="G25" s="85">
        <v>61</v>
      </c>
      <c r="H25" s="15">
        <v>70</v>
      </c>
      <c r="I25" s="85">
        <v>61</v>
      </c>
      <c r="J25" s="85">
        <v>61</v>
      </c>
      <c r="K25" s="85">
        <v>61</v>
      </c>
      <c r="L25" s="85">
        <v>61</v>
      </c>
      <c r="M25" s="15">
        <v>70</v>
      </c>
      <c r="N25" s="85">
        <v>61</v>
      </c>
      <c r="O25" s="18">
        <v>5</v>
      </c>
      <c r="P25" s="18">
        <v>6</v>
      </c>
      <c r="Q25" s="54">
        <v>0</v>
      </c>
      <c r="U25" s="136" t="s">
        <v>183</v>
      </c>
      <c r="V25" s="137"/>
      <c r="W25" s="137"/>
      <c r="X25" s="141">
        <f>COUNTIF($B$2:$IW$10,36) + COUNTIF($B$2:$IW$10,37)+COUNTIF($B$2:$IW$10,38) + COUNTIF($B$2:$IW$10,39)</f>
        <v>4</v>
      </c>
      <c r="Y25" s="132">
        <v>4</v>
      </c>
    </row>
    <row r="26" spans="2:25" ht="12" customHeight="1" thickBot="1" x14ac:dyDescent="0.25">
      <c r="B26" s="4">
        <v>0</v>
      </c>
      <c r="C26" s="81">
        <v>30</v>
      </c>
      <c r="D26" s="81">
        <v>30</v>
      </c>
      <c r="E26" s="89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  <c r="U26" s="138" t="s">
        <v>184</v>
      </c>
      <c r="V26" s="139"/>
      <c r="W26" s="139"/>
      <c r="X26" s="142">
        <f>COUNTIF($B$2:$IW$10,72) + COUNTIF($B$2:$IW$10,73)+COUNTIF($B$2:$IW$10,74) + COUNTIF($B$2:$IW$10,75)</f>
        <v>4</v>
      </c>
      <c r="Y26" s="133">
        <v>4</v>
      </c>
    </row>
    <row r="27" spans="2:2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3">
        <v>82</v>
      </c>
    </row>
    <row r="28" spans="2:25" ht="12" customHeight="1" x14ac:dyDescent="0.2"/>
    <row r="29" spans="2:25" ht="12" customHeight="1" x14ac:dyDescent="0.2"/>
    <row r="30" spans="2:25" ht="12" customHeight="1" x14ac:dyDescent="0.2"/>
    <row r="31" spans="2:25" ht="12" customHeight="1" x14ac:dyDescent="0.2"/>
    <row r="32" spans="2:25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 enableFormatConditionsCalculation="0"/>
  <dimension ref="A1:IW64"/>
  <sheetViews>
    <sheetView tabSelected="1" topLeftCell="D9" zoomScale="90" zoomScaleNormal="90" workbookViewId="0">
      <selection activeCell="S42" sqref="S4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81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86</v>
      </c>
      <c r="AW2" s="12">
        <v>86</v>
      </c>
      <c r="AX2" s="12">
        <v>82</v>
      </c>
      <c r="AY2" s="83">
        <v>12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11">
        <v>40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2">
        <v>0</v>
      </c>
      <c r="FP2" s="2">
        <v>0</v>
      </c>
      <c r="FQ2" s="2">
        <v>0</v>
      </c>
      <c r="FR2" s="15">
        <v>70</v>
      </c>
      <c r="FS2" s="2">
        <v>0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7">
        <v>78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6">
        <v>7</v>
      </c>
      <c r="D3" s="6">
        <v>8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81">
        <v>11</v>
      </c>
      <c r="P3" s="8">
        <v>81</v>
      </c>
      <c r="Q3" s="12">
        <v>86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86</v>
      </c>
      <c r="AX3" s="12">
        <v>86</v>
      </c>
      <c r="AY3" s="12">
        <v>82</v>
      </c>
      <c r="AZ3" s="81">
        <v>12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10">
        <v>21</v>
      </c>
      <c r="BJ3" s="7">
        <v>0</v>
      </c>
      <c r="BK3" s="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9">
        <v>52</v>
      </c>
      <c r="DM3" s="2">
        <v>0</v>
      </c>
      <c r="DN3" s="9">
        <v>52</v>
      </c>
      <c r="DO3" s="2">
        <v>0</v>
      </c>
      <c r="DP3" s="9">
        <v>52</v>
      </c>
      <c r="DQ3" s="12">
        <v>84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10">
        <v>58</v>
      </c>
      <c r="FI3" s="110">
        <v>58</v>
      </c>
      <c r="FJ3" s="2">
        <v>0</v>
      </c>
      <c r="FK3" s="2">
        <v>0</v>
      </c>
      <c r="FL3" s="62">
        <v>40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19">
        <v>25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73">
        <v>68</v>
      </c>
      <c r="GG3" s="2">
        <v>0</v>
      </c>
      <c r="GH3" s="19">
        <v>25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2">
        <v>0</v>
      </c>
      <c r="GP3" s="109">
        <v>0</v>
      </c>
      <c r="GQ3" s="109">
        <v>0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109">
        <v>0</v>
      </c>
      <c r="GY3" s="109">
        <v>0</v>
      </c>
      <c r="GZ3" s="109">
        <v>0</v>
      </c>
      <c r="HA3" s="109">
        <v>0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10">
        <v>58</v>
      </c>
      <c r="HX3" s="3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64">
        <v>27</v>
      </c>
      <c r="II3" s="15">
        <v>70</v>
      </c>
      <c r="IJ3" s="64">
        <v>27</v>
      </c>
      <c r="IK3" s="64">
        <v>28</v>
      </c>
      <c r="IL3" s="64">
        <v>27</v>
      </c>
      <c r="IM3" s="64">
        <v>28</v>
      </c>
      <c r="IN3" s="64">
        <v>27</v>
      </c>
      <c r="IO3" s="64">
        <v>28</v>
      </c>
      <c r="IP3" s="64">
        <v>27</v>
      </c>
      <c r="IQ3" s="12">
        <v>84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6">
        <v>9</v>
      </c>
      <c r="D4" s="6">
        <v>10</v>
      </c>
      <c r="E4" s="62">
        <v>40</v>
      </c>
      <c r="F4" s="4">
        <v>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81">
        <v>11</v>
      </c>
      <c r="O4" s="8">
        <v>81</v>
      </c>
      <c r="P4" s="12">
        <v>86</v>
      </c>
      <c r="Q4" s="12">
        <v>86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64">
        <v>35</v>
      </c>
      <c r="X4" s="2">
        <v>0</v>
      </c>
      <c r="Y4" s="62">
        <v>40</v>
      </c>
      <c r="Z4" s="2">
        <v>0</v>
      </c>
      <c r="AA4" s="2">
        <v>0</v>
      </c>
      <c r="AB4" s="62">
        <v>40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86</v>
      </c>
      <c r="AY4" s="12">
        <v>86</v>
      </c>
      <c r="AZ4" s="17">
        <v>82</v>
      </c>
      <c r="BA4" s="81">
        <v>12</v>
      </c>
      <c r="BB4" s="7">
        <v>0</v>
      </c>
      <c r="BC4" s="7">
        <v>0</v>
      </c>
      <c r="BD4" s="6">
        <v>7</v>
      </c>
      <c r="BE4" s="6">
        <v>8</v>
      </c>
      <c r="BF4" s="7">
        <v>0</v>
      </c>
      <c r="BG4" s="7">
        <v>0</v>
      </c>
      <c r="BH4" s="7">
        <v>0</v>
      </c>
      <c r="BI4" s="10">
        <v>20</v>
      </c>
      <c r="BJ4" s="7">
        <v>0</v>
      </c>
      <c r="BK4" s="7">
        <v>0</v>
      </c>
      <c r="BL4" s="7">
        <v>0</v>
      </c>
      <c r="BM4" s="7">
        <v>0</v>
      </c>
      <c r="BN4" s="17">
        <v>78</v>
      </c>
      <c r="BO4" s="2">
        <v>0</v>
      </c>
      <c r="BP4" s="2">
        <v>0</v>
      </c>
      <c r="BQ4" s="2">
        <v>0</v>
      </c>
      <c r="BR4" s="69">
        <v>26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69">
        <v>26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30">
        <v>25</v>
      </c>
      <c r="DJ4" s="2">
        <v>0</v>
      </c>
      <c r="DK4" s="130">
        <v>25</v>
      </c>
      <c r="DL4" s="2">
        <v>0</v>
      </c>
      <c r="DM4" s="2">
        <v>0</v>
      </c>
      <c r="DN4" s="2">
        <v>0</v>
      </c>
      <c r="DO4" s="130">
        <v>25</v>
      </c>
      <c r="DP4" s="2">
        <v>0</v>
      </c>
      <c r="DQ4" s="12">
        <v>84</v>
      </c>
      <c r="DR4" s="2">
        <v>0</v>
      </c>
      <c r="DS4" s="62">
        <v>40</v>
      </c>
      <c r="DT4" s="2">
        <v>0</v>
      </c>
      <c r="DU4" s="67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11">
        <v>40</v>
      </c>
      <c r="EV4" s="2">
        <v>0</v>
      </c>
      <c r="EW4" s="2">
        <v>0</v>
      </c>
      <c r="EX4" s="11">
        <v>40</v>
      </c>
      <c r="EY4" s="74">
        <v>108</v>
      </c>
      <c r="EZ4" s="11">
        <v>40</v>
      </c>
      <c r="FA4" s="2">
        <v>0</v>
      </c>
      <c r="FB4" s="2">
        <v>0</v>
      </c>
      <c r="FC4" s="11">
        <v>40</v>
      </c>
      <c r="FD4" s="11">
        <v>40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10">
        <v>58</v>
      </c>
      <c r="FL4" s="110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76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73">
        <v>68</v>
      </c>
      <c r="GG4" s="2">
        <v>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67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125">
        <v>125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5">
        <v>123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30">
        <v>25</v>
      </c>
      <c r="IN4" s="2">
        <v>0</v>
      </c>
      <c r="IO4" s="2">
        <v>0</v>
      </c>
      <c r="IP4" s="2">
        <v>0</v>
      </c>
      <c r="IQ4" s="12">
        <v>84</v>
      </c>
      <c r="IR4" s="69">
        <v>26</v>
      </c>
      <c r="IS4" s="130">
        <v>25</v>
      </c>
      <c r="IT4" s="2">
        <v>0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8">
        <v>60</v>
      </c>
      <c r="F5" s="4">
        <v>0</v>
      </c>
      <c r="G5" s="4">
        <v>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81">
        <v>11</v>
      </c>
      <c r="N5" s="8">
        <v>81</v>
      </c>
      <c r="O5" s="12">
        <v>86</v>
      </c>
      <c r="P5" s="12">
        <v>86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29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2">
        <v>0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86</v>
      </c>
      <c r="AZ5" s="12">
        <v>86</v>
      </c>
      <c r="BA5" s="17">
        <v>82</v>
      </c>
      <c r="BB5" s="81">
        <v>12</v>
      </c>
      <c r="BC5" s="7">
        <v>0</v>
      </c>
      <c r="BD5" s="6">
        <v>9</v>
      </c>
      <c r="BE5" s="6">
        <v>10</v>
      </c>
      <c r="BF5" s="7">
        <v>0</v>
      </c>
      <c r="BG5" s="7">
        <v>0</v>
      </c>
      <c r="BH5" s="12">
        <v>19</v>
      </c>
      <c r="BI5" s="12">
        <v>19</v>
      </c>
      <c r="BJ5" s="12">
        <v>19</v>
      </c>
      <c r="BK5" s="7">
        <v>0</v>
      </c>
      <c r="BL5" s="7">
        <v>0</v>
      </c>
      <c r="BM5" s="7">
        <v>0</v>
      </c>
      <c r="BN5" s="17">
        <v>78</v>
      </c>
      <c r="BO5" s="69">
        <v>26</v>
      </c>
      <c r="BP5" s="64">
        <v>35</v>
      </c>
      <c r="BQ5" s="2">
        <v>0</v>
      </c>
      <c r="BR5" s="2">
        <v>0</v>
      </c>
      <c r="BS5" s="2">
        <v>0</v>
      </c>
      <c r="BT5" s="2">
        <v>0</v>
      </c>
      <c r="BU5" s="68">
        <v>96</v>
      </c>
      <c r="BV5" s="2">
        <v>0</v>
      </c>
      <c r="BW5" s="68">
        <v>97</v>
      </c>
      <c r="BX5" s="2">
        <v>0</v>
      </c>
      <c r="BY5" s="2">
        <v>0</v>
      </c>
      <c r="BZ5" s="2">
        <v>0</v>
      </c>
      <c r="CA5" s="2">
        <v>0</v>
      </c>
      <c r="CB5" s="69">
        <v>26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127">
        <v>43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30">
        <v>25</v>
      </c>
      <c r="DE5" s="2">
        <v>0</v>
      </c>
      <c r="DF5" s="13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11">
        <v>40</v>
      </c>
      <c r="DM5" s="2">
        <v>0</v>
      </c>
      <c r="DN5" s="146">
        <v>44</v>
      </c>
      <c r="DO5" s="2">
        <v>0</v>
      </c>
      <c r="DP5" s="11">
        <v>40</v>
      </c>
      <c r="DQ5" s="12">
        <v>84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17">
        <v>78</v>
      </c>
      <c r="EP5" s="17">
        <v>78</v>
      </c>
      <c r="EQ5" s="2">
        <v>0</v>
      </c>
      <c r="ER5" s="2">
        <v>0</v>
      </c>
      <c r="ES5" s="2">
        <v>0</v>
      </c>
      <c r="ET5" s="11">
        <v>40</v>
      </c>
      <c r="EU5" s="11">
        <v>40</v>
      </c>
      <c r="EV5" s="2">
        <v>0</v>
      </c>
      <c r="EW5" s="2">
        <v>0</v>
      </c>
      <c r="EX5" s="11">
        <v>40</v>
      </c>
      <c r="EY5" s="146">
        <v>43</v>
      </c>
      <c r="EZ5" s="11">
        <v>40</v>
      </c>
      <c r="FA5" s="2">
        <v>0</v>
      </c>
      <c r="FB5" s="2">
        <v>0</v>
      </c>
      <c r="FC5" s="11">
        <v>40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10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11">
        <v>40</v>
      </c>
      <c r="FQ5" s="2">
        <v>0</v>
      </c>
      <c r="FR5" s="15">
        <v>70</v>
      </c>
      <c r="FS5" s="2">
        <v>0</v>
      </c>
      <c r="FT5" s="11">
        <v>40</v>
      </c>
      <c r="FU5" s="2">
        <v>0</v>
      </c>
      <c r="FV5" s="146">
        <v>41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11">
        <v>40</v>
      </c>
      <c r="GD5" s="69">
        <v>26</v>
      </c>
      <c r="GE5" s="2">
        <v>0</v>
      </c>
      <c r="GF5" s="73">
        <v>68</v>
      </c>
      <c r="GG5" s="2">
        <v>0</v>
      </c>
      <c r="GH5" s="69">
        <v>26</v>
      </c>
      <c r="GI5" s="146">
        <v>45</v>
      </c>
      <c r="GJ5" s="69">
        <v>26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11">
        <v>40</v>
      </c>
      <c r="HJ5" s="2">
        <v>0</v>
      </c>
      <c r="HK5" s="111">
        <v>93</v>
      </c>
      <c r="HL5" s="2">
        <v>0</v>
      </c>
      <c r="HM5" s="11">
        <v>40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7">
        <v>92</v>
      </c>
      <c r="HW5" s="2">
        <v>0</v>
      </c>
      <c r="HX5" s="11">
        <v>40</v>
      </c>
      <c r="HY5" s="2">
        <v>0</v>
      </c>
      <c r="HZ5" s="2">
        <v>0</v>
      </c>
      <c r="IA5" s="11">
        <v>40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34">
        <v>39</v>
      </c>
      <c r="IN5" s="2">
        <v>0</v>
      </c>
      <c r="IO5" s="2">
        <v>0</v>
      </c>
      <c r="IP5" s="2">
        <v>0</v>
      </c>
      <c r="IQ5" s="12">
        <v>84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5">
        <v>121</v>
      </c>
      <c r="F6" s="108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81">
        <v>11</v>
      </c>
      <c r="M6" s="8">
        <v>81</v>
      </c>
      <c r="N6" s="12">
        <v>86</v>
      </c>
      <c r="O6" s="12">
        <v>86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69">
        <v>26</v>
      </c>
      <c r="V6" s="2">
        <v>0</v>
      </c>
      <c r="W6" s="67">
        <v>108</v>
      </c>
      <c r="X6" s="2">
        <v>0</v>
      </c>
      <c r="Y6" s="110">
        <v>58</v>
      </c>
      <c r="Z6" s="2">
        <v>0</v>
      </c>
      <c r="AA6" s="2">
        <v>0</v>
      </c>
      <c r="AB6" s="110">
        <v>58</v>
      </c>
      <c r="AC6" s="2">
        <v>0</v>
      </c>
      <c r="AD6" s="69">
        <v>26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5">
        <v>123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86</v>
      </c>
      <c r="BA6" s="12">
        <v>86</v>
      </c>
      <c r="BB6" s="17">
        <v>82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12">
        <v>17</v>
      </c>
      <c r="BI6" s="12">
        <v>13</v>
      </c>
      <c r="BJ6" s="12">
        <v>18</v>
      </c>
      <c r="BK6" s="7">
        <v>0</v>
      </c>
      <c r="BL6" s="7">
        <v>0</v>
      </c>
      <c r="BM6" s="7">
        <v>0</v>
      </c>
      <c r="BN6" s="17">
        <v>78</v>
      </c>
      <c r="BO6" s="2">
        <v>0</v>
      </c>
      <c r="BP6" s="2">
        <v>0</v>
      </c>
      <c r="BQ6" s="5">
        <v>120</v>
      </c>
      <c r="BR6" s="2">
        <v>0</v>
      </c>
      <c r="BS6" s="2">
        <v>0</v>
      </c>
      <c r="BT6" s="2">
        <v>0</v>
      </c>
      <c r="BU6" s="12">
        <v>82</v>
      </c>
      <c r="BV6" s="12">
        <v>82</v>
      </c>
      <c r="BW6" s="12">
        <v>82</v>
      </c>
      <c r="BX6" s="2">
        <v>0</v>
      </c>
      <c r="BY6" s="2">
        <v>0</v>
      </c>
      <c r="BZ6" s="19">
        <v>25</v>
      </c>
      <c r="CA6" s="2">
        <v>0</v>
      </c>
      <c r="CB6" s="2">
        <v>0</v>
      </c>
      <c r="CC6" s="17">
        <v>78</v>
      </c>
      <c r="CD6" s="17">
        <v>78</v>
      </c>
      <c r="CE6" s="69">
        <v>26</v>
      </c>
      <c r="CF6" s="19">
        <v>25</v>
      </c>
      <c r="CG6" s="64">
        <v>35</v>
      </c>
      <c r="CH6" s="62">
        <v>40</v>
      </c>
      <c r="CI6" s="62">
        <v>40</v>
      </c>
      <c r="CJ6" s="2">
        <v>0</v>
      </c>
      <c r="CK6" s="110">
        <v>58</v>
      </c>
      <c r="CL6" s="2">
        <v>0</v>
      </c>
      <c r="CM6" s="62">
        <v>40</v>
      </c>
      <c r="CN6" s="62">
        <v>40</v>
      </c>
      <c r="CO6" s="19">
        <v>25</v>
      </c>
      <c r="CP6" s="64">
        <v>35</v>
      </c>
      <c r="CQ6" s="60">
        <v>70</v>
      </c>
      <c r="CR6" s="69">
        <v>26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5">
        <v>122</v>
      </c>
      <c r="DD6" s="2">
        <v>0</v>
      </c>
      <c r="DE6" s="2">
        <v>0</v>
      </c>
      <c r="DF6" s="2">
        <v>0</v>
      </c>
      <c r="DG6" s="106">
        <v>121</v>
      </c>
      <c r="DH6" s="2">
        <v>0</v>
      </c>
      <c r="DI6" s="2">
        <v>0</v>
      </c>
      <c r="DJ6" s="2">
        <v>0</v>
      </c>
      <c r="DK6" s="2">
        <v>0</v>
      </c>
      <c r="DL6" s="8">
        <v>84</v>
      </c>
      <c r="DM6" s="69">
        <v>26</v>
      </c>
      <c r="DN6" s="8">
        <v>84</v>
      </c>
      <c r="DO6" s="69">
        <v>26</v>
      </c>
      <c r="DP6" s="8">
        <v>84</v>
      </c>
      <c r="DQ6" s="12">
        <v>84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34">
        <v>75</v>
      </c>
      <c r="EP6" s="2">
        <v>0</v>
      </c>
      <c r="EQ6" s="11">
        <v>40</v>
      </c>
      <c r="ER6" s="11">
        <v>40</v>
      </c>
      <c r="ES6" s="11">
        <v>40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10">
        <v>58</v>
      </c>
      <c r="FJ6" s="2">
        <v>0</v>
      </c>
      <c r="FK6" s="130">
        <v>25</v>
      </c>
      <c r="FL6" s="2">
        <v>0</v>
      </c>
      <c r="FM6" s="130">
        <v>25</v>
      </c>
      <c r="FN6" s="2">
        <v>0</v>
      </c>
      <c r="FO6" s="69">
        <v>26</v>
      </c>
      <c r="FP6" s="110">
        <v>58</v>
      </c>
      <c r="FQ6" s="69">
        <v>26</v>
      </c>
      <c r="FR6" s="15">
        <v>70</v>
      </c>
      <c r="FS6" s="2">
        <v>0</v>
      </c>
      <c r="FT6" s="110">
        <v>58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76">
        <v>113</v>
      </c>
      <c r="GB6" s="64">
        <v>35</v>
      </c>
      <c r="GC6" s="110">
        <v>58</v>
      </c>
      <c r="GD6" s="2">
        <v>0</v>
      </c>
      <c r="GE6" s="2">
        <v>0</v>
      </c>
      <c r="GF6" s="73">
        <v>68</v>
      </c>
      <c r="GG6" s="2">
        <v>0</v>
      </c>
      <c r="GH6" s="2">
        <v>0</v>
      </c>
      <c r="GI6" s="110">
        <v>58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3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3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110">
        <v>58</v>
      </c>
      <c r="HJ6" s="2">
        <v>0</v>
      </c>
      <c r="HK6" s="2">
        <v>0</v>
      </c>
      <c r="HL6" s="130">
        <v>25</v>
      </c>
      <c r="HM6" s="110">
        <v>58</v>
      </c>
      <c r="HN6" s="130">
        <v>25</v>
      </c>
      <c r="HO6" s="2">
        <v>0</v>
      </c>
      <c r="HP6" s="2">
        <v>0</v>
      </c>
      <c r="HQ6" s="62">
        <v>40</v>
      </c>
      <c r="HR6" s="62">
        <v>40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10">
        <v>58</v>
      </c>
      <c r="HY6" s="2">
        <v>0</v>
      </c>
      <c r="HZ6" s="67">
        <v>106</v>
      </c>
      <c r="IA6" s="110">
        <v>58</v>
      </c>
      <c r="IB6" s="2">
        <v>0</v>
      </c>
      <c r="IC6" s="2">
        <v>0</v>
      </c>
      <c r="ID6" s="130">
        <v>25</v>
      </c>
      <c r="IE6" s="2">
        <v>0</v>
      </c>
      <c r="IF6" s="13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110">
        <v>58</v>
      </c>
      <c r="IN6" s="2">
        <v>0</v>
      </c>
      <c r="IO6" s="69">
        <v>26</v>
      </c>
      <c r="IP6" s="16">
        <v>112</v>
      </c>
      <c r="IQ6" s="12">
        <v>73</v>
      </c>
      <c r="IR6" s="11">
        <v>40</v>
      </c>
      <c r="IS6" s="11">
        <v>40</v>
      </c>
      <c r="IT6" s="11">
        <v>40</v>
      </c>
      <c r="IU6" s="127">
        <v>42</v>
      </c>
      <c r="IV6" s="11">
        <v>40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17">
        <v>92</v>
      </c>
      <c r="F7" s="4">
        <v>0</v>
      </c>
      <c r="G7" s="62">
        <v>40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86</v>
      </c>
      <c r="N7" s="12">
        <v>86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17">
        <v>92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86</v>
      </c>
      <c r="BA7" s="12">
        <v>86</v>
      </c>
      <c r="BB7" s="17">
        <v>82</v>
      </c>
      <c r="BC7" s="7">
        <v>0</v>
      </c>
      <c r="BD7" s="7">
        <v>0</v>
      </c>
      <c r="BE7" s="7">
        <v>0</v>
      </c>
      <c r="BF7" s="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7">
        <v>0</v>
      </c>
      <c r="BM7" s="7">
        <v>0</v>
      </c>
      <c r="BN7" s="17">
        <v>78</v>
      </c>
      <c r="BO7" s="2">
        <v>0</v>
      </c>
      <c r="BP7" s="19">
        <v>25</v>
      </c>
      <c r="BQ7" s="17">
        <v>92</v>
      </c>
      <c r="BR7" s="2">
        <v>0</v>
      </c>
      <c r="BS7" s="11">
        <v>40</v>
      </c>
      <c r="BT7" s="2">
        <v>0</v>
      </c>
      <c r="BU7" s="9">
        <v>52</v>
      </c>
      <c r="BV7" s="9">
        <v>52</v>
      </c>
      <c r="BW7" s="9">
        <v>52</v>
      </c>
      <c r="BX7" s="2">
        <v>0</v>
      </c>
      <c r="BY7" s="2">
        <v>0</v>
      </c>
      <c r="BZ7" s="2">
        <v>0</v>
      </c>
      <c r="CA7" s="19">
        <v>25</v>
      </c>
      <c r="CB7" s="2">
        <v>0</v>
      </c>
      <c r="CC7" s="17">
        <v>78</v>
      </c>
      <c r="CD7" s="17">
        <v>78</v>
      </c>
      <c r="CE7" s="17">
        <v>78</v>
      </c>
      <c r="CF7" s="2">
        <v>0</v>
      </c>
      <c r="CG7" s="10">
        <v>110</v>
      </c>
      <c r="CH7" s="110">
        <v>58</v>
      </c>
      <c r="CI7" s="110">
        <v>58</v>
      </c>
      <c r="CJ7" s="2">
        <v>0</v>
      </c>
      <c r="CK7" s="69">
        <v>26</v>
      </c>
      <c r="CL7" s="2">
        <v>0</v>
      </c>
      <c r="CM7" s="110">
        <v>58</v>
      </c>
      <c r="CN7" s="110">
        <v>58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11">
        <v>40</v>
      </c>
      <c r="CX7" s="11">
        <v>40</v>
      </c>
      <c r="CY7" s="2">
        <v>0</v>
      </c>
      <c r="CZ7" s="2">
        <v>0</v>
      </c>
      <c r="DA7" s="2">
        <v>0</v>
      </c>
      <c r="DB7" s="2">
        <v>0</v>
      </c>
      <c r="DC7" s="17">
        <v>92</v>
      </c>
      <c r="DD7" s="2">
        <v>0</v>
      </c>
      <c r="DE7" s="2">
        <v>0</v>
      </c>
      <c r="DF7" s="2">
        <v>0</v>
      </c>
      <c r="DG7" s="107">
        <v>92</v>
      </c>
      <c r="DH7" s="2">
        <v>0</v>
      </c>
      <c r="DI7" s="2">
        <v>0</v>
      </c>
      <c r="DJ7" s="11">
        <v>40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12">
        <v>84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110">
        <v>58</v>
      </c>
      <c r="ER7" s="82">
        <v>63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11">
        <v>40</v>
      </c>
      <c r="FL7" s="2">
        <v>0</v>
      </c>
      <c r="FM7" s="2">
        <v>0</v>
      </c>
      <c r="FN7" s="2">
        <v>0</v>
      </c>
      <c r="FO7" s="2">
        <v>0</v>
      </c>
      <c r="FP7" s="130">
        <v>25</v>
      </c>
      <c r="FQ7" s="2">
        <v>0</v>
      </c>
      <c r="FR7" s="15">
        <v>70</v>
      </c>
      <c r="FS7" s="2">
        <v>0</v>
      </c>
      <c r="FT7" s="5">
        <v>121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3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3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11">
        <v>40</v>
      </c>
      <c r="HK7" s="87">
        <v>99</v>
      </c>
      <c r="HL7" s="11">
        <v>40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10">
        <v>58</v>
      </c>
      <c r="HT7" s="2">
        <v>0</v>
      </c>
      <c r="HU7" s="16">
        <v>112</v>
      </c>
      <c r="HV7" s="62">
        <v>40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30">
        <v>25</v>
      </c>
      <c r="IM7" s="2">
        <v>0</v>
      </c>
      <c r="IN7" s="130">
        <v>25</v>
      </c>
      <c r="IO7" s="11">
        <v>40</v>
      </c>
      <c r="IP7" s="110">
        <v>58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8">
        <v>60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10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16">
        <v>112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7">
        <v>0</v>
      </c>
      <c r="BD8" s="62">
        <v>40</v>
      </c>
      <c r="BE8" s="62">
        <v>40</v>
      </c>
      <c r="BF8" s="62">
        <v>40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7">
        <v>0</v>
      </c>
      <c r="BM8" s="7">
        <v>0</v>
      </c>
      <c r="BN8" s="17">
        <v>78</v>
      </c>
      <c r="BO8" s="2">
        <v>0</v>
      </c>
      <c r="BP8" s="16">
        <v>108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19">
        <v>25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17">
        <v>77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30">
        <v>25</v>
      </c>
      <c r="DG8" s="2">
        <v>0</v>
      </c>
      <c r="DH8" s="13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12">
        <v>84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10">
        <v>58</v>
      </c>
      <c r="FK8" s="110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17">
        <v>92</v>
      </c>
      <c r="FU8" s="2">
        <v>0</v>
      </c>
      <c r="FV8" s="2">
        <v>0</v>
      </c>
      <c r="FW8" s="2">
        <v>0</v>
      </c>
      <c r="FX8" s="64">
        <v>35</v>
      </c>
      <c r="FY8" s="76">
        <v>113</v>
      </c>
      <c r="FZ8" s="15">
        <v>70</v>
      </c>
      <c r="GA8" s="2">
        <v>0</v>
      </c>
      <c r="GB8" s="64">
        <v>35</v>
      </c>
      <c r="GC8" s="19">
        <v>25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30">
        <v>25</v>
      </c>
      <c r="HA8" s="2">
        <v>0</v>
      </c>
      <c r="HB8" s="2">
        <v>0</v>
      </c>
      <c r="HC8" s="2">
        <v>0</v>
      </c>
      <c r="HD8" s="2">
        <v>0</v>
      </c>
      <c r="HE8" s="130">
        <v>25</v>
      </c>
      <c r="HF8" s="2">
        <v>0</v>
      </c>
      <c r="HG8" s="13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11">
        <v>40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10">
        <v>58</v>
      </c>
      <c r="HV8" s="110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30">
        <v>25</v>
      </c>
      <c r="IC8" s="2">
        <v>0</v>
      </c>
      <c r="ID8" s="13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11">
        <v>40</v>
      </c>
      <c r="IO8" s="110">
        <v>58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4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49">
        <v>98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7">
        <v>0</v>
      </c>
      <c r="BD9" s="62">
        <v>40</v>
      </c>
      <c r="BE9" s="62">
        <v>40</v>
      </c>
      <c r="BF9" s="62">
        <v>40</v>
      </c>
      <c r="BG9" s="12">
        <v>17</v>
      </c>
      <c r="BH9" s="12">
        <v>13</v>
      </c>
      <c r="BI9" s="92">
        <v>57</v>
      </c>
      <c r="BJ9" s="12">
        <v>13</v>
      </c>
      <c r="BK9" s="12">
        <v>18</v>
      </c>
      <c r="BL9" s="7">
        <v>0</v>
      </c>
      <c r="BM9" s="7">
        <v>0</v>
      </c>
      <c r="BN9" s="17">
        <v>78</v>
      </c>
      <c r="BO9" s="83">
        <v>12</v>
      </c>
      <c r="BP9" s="2">
        <v>0</v>
      </c>
      <c r="BQ9" s="11">
        <v>40</v>
      </c>
      <c r="BR9" s="2">
        <v>0</v>
      </c>
      <c r="BS9" s="11">
        <v>40</v>
      </c>
      <c r="BT9" s="2">
        <v>0</v>
      </c>
      <c r="BU9" s="11">
        <v>40</v>
      </c>
      <c r="BV9" s="2">
        <v>0</v>
      </c>
      <c r="BW9" s="11">
        <v>40</v>
      </c>
      <c r="BX9" s="2">
        <v>0</v>
      </c>
      <c r="BY9" s="11">
        <v>40</v>
      </c>
      <c r="BZ9" s="2">
        <v>0</v>
      </c>
      <c r="CA9" s="11">
        <v>40</v>
      </c>
      <c r="CB9" s="2">
        <v>0</v>
      </c>
      <c r="CC9" s="2">
        <v>0</v>
      </c>
      <c r="CD9" s="17">
        <v>77</v>
      </c>
      <c r="CE9" s="17">
        <v>77</v>
      </c>
      <c r="CF9" s="2">
        <v>0</v>
      </c>
      <c r="CG9" s="2">
        <v>0</v>
      </c>
      <c r="CH9" s="62">
        <v>40</v>
      </c>
      <c r="CI9" s="2">
        <v>0</v>
      </c>
      <c r="CJ9" s="87">
        <v>99</v>
      </c>
      <c r="CK9" s="2">
        <v>0</v>
      </c>
      <c r="CL9" s="2">
        <v>0</v>
      </c>
      <c r="CM9" s="2">
        <v>0</v>
      </c>
      <c r="CN9" s="62">
        <v>40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16">
        <v>112</v>
      </c>
      <c r="DD9" s="87">
        <v>99</v>
      </c>
      <c r="DE9" s="2">
        <v>0</v>
      </c>
      <c r="DF9" s="2">
        <v>0</v>
      </c>
      <c r="DG9" s="2">
        <v>0</v>
      </c>
      <c r="DH9" s="2">
        <v>0</v>
      </c>
      <c r="DI9" s="11">
        <v>40</v>
      </c>
      <c r="DJ9" s="11">
        <v>40</v>
      </c>
      <c r="DK9" s="11">
        <v>40</v>
      </c>
      <c r="DL9" s="2">
        <v>0</v>
      </c>
      <c r="DM9" s="62">
        <v>40</v>
      </c>
      <c r="DN9" s="2">
        <v>0</v>
      </c>
      <c r="DO9" s="2">
        <v>0</v>
      </c>
      <c r="DP9" s="70">
        <v>104</v>
      </c>
      <c r="DQ9" s="33">
        <v>74</v>
      </c>
      <c r="DR9" s="2">
        <v>0</v>
      </c>
      <c r="DS9" s="62">
        <v>40</v>
      </c>
      <c r="DT9" s="2">
        <v>0</v>
      </c>
      <c r="DU9" s="62">
        <v>40</v>
      </c>
      <c r="DV9" s="2">
        <v>0</v>
      </c>
      <c r="DW9" s="87">
        <v>99</v>
      </c>
      <c r="DX9" s="12">
        <v>37</v>
      </c>
      <c r="DY9" s="12">
        <v>84</v>
      </c>
      <c r="DZ9" s="12">
        <v>84</v>
      </c>
      <c r="EA9" s="83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62">
        <v>40</v>
      </c>
      <c r="EH9" s="62">
        <v>40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33">
        <v>38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16">
        <v>112</v>
      </c>
      <c r="FO9" s="2">
        <v>0</v>
      </c>
      <c r="FP9" s="11">
        <v>40</v>
      </c>
      <c r="FQ9" s="2">
        <v>0</v>
      </c>
      <c r="FR9" s="15">
        <v>70</v>
      </c>
      <c r="FS9" s="2">
        <v>0</v>
      </c>
      <c r="FT9" s="11">
        <v>40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9">
        <v>53</v>
      </c>
      <c r="GE9" s="2">
        <v>0</v>
      </c>
      <c r="GF9" s="9">
        <v>53</v>
      </c>
      <c r="GG9" s="2">
        <v>0</v>
      </c>
      <c r="GH9" s="9">
        <v>53</v>
      </c>
      <c r="GI9" s="87">
        <v>99</v>
      </c>
      <c r="GJ9" s="9">
        <v>53</v>
      </c>
      <c r="GK9" s="12">
        <v>84</v>
      </c>
      <c r="GL9" s="12">
        <v>84</v>
      </c>
      <c r="GM9" s="83">
        <v>12</v>
      </c>
      <c r="GN9" s="62">
        <v>40</v>
      </c>
      <c r="GO9" s="2">
        <v>0</v>
      </c>
      <c r="GP9" s="2">
        <v>0</v>
      </c>
      <c r="GQ9" s="62">
        <v>40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62">
        <v>40</v>
      </c>
      <c r="GY9" s="2">
        <v>0</v>
      </c>
      <c r="GZ9" s="2">
        <v>0</v>
      </c>
      <c r="HA9" s="2">
        <v>0</v>
      </c>
      <c r="HB9" s="2">
        <v>0</v>
      </c>
      <c r="HC9" s="16">
        <v>112</v>
      </c>
      <c r="HD9" s="2">
        <v>0</v>
      </c>
      <c r="HE9" s="2">
        <v>0</v>
      </c>
      <c r="HF9" s="2">
        <v>0</v>
      </c>
      <c r="HG9" s="11">
        <v>40</v>
      </c>
      <c r="HH9" s="11">
        <v>40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11">
        <v>40</v>
      </c>
      <c r="IA9" s="2">
        <v>0</v>
      </c>
      <c r="IB9" s="11">
        <v>40</v>
      </c>
      <c r="IC9" s="2">
        <v>0</v>
      </c>
      <c r="ID9" s="11">
        <v>40</v>
      </c>
      <c r="IE9" s="2">
        <v>0</v>
      </c>
      <c r="IF9" s="76">
        <v>100</v>
      </c>
      <c r="IG9" s="2">
        <v>0</v>
      </c>
      <c r="IH9" s="11">
        <v>40</v>
      </c>
      <c r="II9" s="2">
        <v>0</v>
      </c>
      <c r="IJ9" s="11">
        <v>40</v>
      </c>
      <c r="IK9" s="2">
        <v>0</v>
      </c>
      <c r="IL9" s="11">
        <v>40</v>
      </c>
      <c r="IM9" s="2">
        <v>0</v>
      </c>
      <c r="IN9" s="110">
        <v>58</v>
      </c>
      <c r="IO9" s="2">
        <v>0</v>
      </c>
      <c r="IP9" s="76">
        <v>100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83</v>
      </c>
      <c r="F10" s="20">
        <v>48</v>
      </c>
      <c r="G10" s="20">
        <v>48</v>
      </c>
      <c r="H10" s="20">
        <v>48</v>
      </c>
      <c r="I10" s="12">
        <v>81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10">
        <v>58</v>
      </c>
      <c r="CY10" s="110">
        <v>58</v>
      </c>
      <c r="CZ10" s="2">
        <v>0</v>
      </c>
      <c r="DA10" s="2">
        <v>0</v>
      </c>
      <c r="DB10" s="2">
        <v>0</v>
      </c>
      <c r="DC10" s="82">
        <v>63</v>
      </c>
      <c r="DD10" s="82">
        <v>63</v>
      </c>
      <c r="DE10" s="82">
        <v>63</v>
      </c>
      <c r="DF10" s="15">
        <v>70</v>
      </c>
      <c r="DG10" s="82">
        <v>63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7">
        <v>78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10">
        <v>58</v>
      </c>
      <c r="FJ10" s="110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19" t="s">
        <v>147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20"/>
      <c r="BN11" s="119" t="s">
        <v>148</v>
      </c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21" t="s">
        <v>149</v>
      </c>
      <c r="EA11" s="122"/>
      <c r="EB11" s="122"/>
      <c r="EC11" s="122"/>
      <c r="ED11" s="122"/>
      <c r="EE11" s="122"/>
      <c r="EF11" s="122"/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2"/>
      <c r="ET11" s="122"/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/>
      <c r="FT11" s="122"/>
      <c r="FU11" s="122"/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2"/>
      <c r="GI11" s="122"/>
      <c r="GJ11" s="122"/>
      <c r="GK11" s="123"/>
      <c r="GL11" s="124" t="s">
        <v>150</v>
      </c>
      <c r="GM11" s="122"/>
      <c r="GN11" s="122"/>
      <c r="GO11" s="122"/>
      <c r="GP11" s="122"/>
      <c r="GQ11" s="122"/>
      <c r="GR11" s="122"/>
      <c r="GS11" s="122"/>
      <c r="GT11" s="122"/>
      <c r="GU11" s="122"/>
      <c r="GV11" s="122"/>
      <c r="GW11" s="122"/>
      <c r="GX11" s="122"/>
      <c r="GY11" s="122"/>
      <c r="GZ11" s="122"/>
      <c r="HA11" s="122"/>
      <c r="HB11" s="122"/>
      <c r="HC11" s="122"/>
      <c r="HD11" s="122"/>
      <c r="HE11" s="122"/>
      <c r="HF11" s="122"/>
      <c r="HG11" s="122"/>
      <c r="HH11" s="122"/>
      <c r="HI11" s="122"/>
      <c r="HJ11" s="122"/>
      <c r="HK11" s="122"/>
      <c r="HL11" s="122"/>
      <c r="HM11" s="122"/>
      <c r="HN11" s="122"/>
      <c r="HO11" s="122"/>
      <c r="HP11" s="122"/>
      <c r="HQ11" s="122"/>
      <c r="HR11" s="122"/>
      <c r="HS11" s="122"/>
      <c r="HT11" s="122"/>
      <c r="HU11" s="122"/>
      <c r="HV11" s="122"/>
      <c r="HW11" s="122"/>
      <c r="HX11" s="122"/>
      <c r="HY11" s="122"/>
      <c r="HZ11" s="122"/>
      <c r="IA11" s="122"/>
      <c r="IB11" s="122"/>
      <c r="IC11" s="122"/>
      <c r="ID11" s="122"/>
      <c r="IE11" s="122"/>
      <c r="IF11" s="122"/>
      <c r="IG11" s="122"/>
      <c r="IH11" s="122"/>
      <c r="II11" s="122"/>
      <c r="IJ11" s="122"/>
      <c r="IK11" s="122"/>
      <c r="IL11" s="122"/>
      <c r="IM11" s="122"/>
      <c r="IN11" s="122"/>
      <c r="IO11" s="122"/>
      <c r="IP11" s="122"/>
      <c r="IQ11" s="122"/>
      <c r="IR11" s="122"/>
      <c r="IS11" s="122"/>
      <c r="IT11" s="122"/>
      <c r="IU11" s="122"/>
      <c r="IV11" s="122"/>
      <c r="IW11" s="123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81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86</v>
      </c>
      <c r="AW19" s="12">
        <v>86</v>
      </c>
      <c r="AX19" s="12">
        <v>82</v>
      </c>
      <c r="AY19" s="83">
        <v>12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6">
        <v>7</v>
      </c>
      <c r="D20" s="6">
        <v>8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81">
        <v>11</v>
      </c>
      <c r="P20" s="8">
        <v>81</v>
      </c>
      <c r="Q20" s="12">
        <v>86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86</v>
      </c>
      <c r="AX20" s="12">
        <v>86</v>
      </c>
      <c r="AY20" s="12">
        <v>82</v>
      </c>
      <c r="AZ20" s="81">
        <v>12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10">
        <v>21</v>
      </c>
      <c r="BJ20" s="7">
        <v>0</v>
      </c>
      <c r="BK20" s="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6">
        <v>9</v>
      </c>
      <c r="D21" s="6">
        <v>10</v>
      </c>
      <c r="E21" s="62">
        <v>40</v>
      </c>
      <c r="F21" s="4">
        <v>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81">
        <v>11</v>
      </c>
      <c r="O21" s="8">
        <v>81</v>
      </c>
      <c r="P21" s="12">
        <v>86</v>
      </c>
      <c r="Q21" s="12">
        <v>86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64">
        <v>35</v>
      </c>
      <c r="X21" s="2">
        <v>0</v>
      </c>
      <c r="Y21" s="62">
        <v>40</v>
      </c>
      <c r="Z21" s="2">
        <v>0</v>
      </c>
      <c r="AA21" s="2">
        <v>0</v>
      </c>
      <c r="AB21" s="62">
        <v>40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86</v>
      </c>
      <c r="AY21" s="12">
        <v>86</v>
      </c>
      <c r="AZ21" s="17">
        <v>82</v>
      </c>
      <c r="BA21" s="81">
        <v>12</v>
      </c>
      <c r="BB21" s="7">
        <v>0</v>
      </c>
      <c r="BC21" s="7">
        <v>0</v>
      </c>
      <c r="BD21" s="6">
        <v>7</v>
      </c>
      <c r="BE21" s="6">
        <v>8</v>
      </c>
      <c r="BF21" s="7">
        <v>0</v>
      </c>
      <c r="BG21" s="7">
        <v>0</v>
      </c>
      <c r="BH21" s="7">
        <v>0</v>
      </c>
      <c r="BI21" s="10">
        <v>20</v>
      </c>
      <c r="BJ21" s="7">
        <v>0</v>
      </c>
      <c r="BK21" s="7">
        <v>0</v>
      </c>
      <c r="BL21" s="7">
        <v>0</v>
      </c>
      <c r="BM21" s="7">
        <v>0</v>
      </c>
    </row>
    <row r="22" spans="2:65" ht="13" customHeight="1" x14ac:dyDescent="0.2">
      <c r="B22" s="4">
        <v>0</v>
      </c>
      <c r="C22" s="4">
        <v>0</v>
      </c>
      <c r="D22" s="4">
        <v>0</v>
      </c>
      <c r="E22" s="8">
        <v>60</v>
      </c>
      <c r="F22" s="4">
        <v>0</v>
      </c>
      <c r="G22" s="4">
        <v>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81">
        <v>11</v>
      </c>
      <c r="N22" s="8">
        <v>81</v>
      </c>
      <c r="O22" s="12">
        <v>86</v>
      </c>
      <c r="P22" s="12">
        <v>86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29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2">
        <v>0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86</v>
      </c>
      <c r="AZ22" s="12">
        <v>86</v>
      </c>
      <c r="BA22" s="17">
        <v>82</v>
      </c>
      <c r="BB22" s="81">
        <v>12</v>
      </c>
      <c r="BC22" s="7">
        <v>0</v>
      </c>
      <c r="BD22" s="6">
        <v>9</v>
      </c>
      <c r="BE22" s="6">
        <v>10</v>
      </c>
      <c r="BF22" s="7">
        <v>0</v>
      </c>
      <c r="BG22" s="7">
        <v>0</v>
      </c>
      <c r="BH22" s="12">
        <v>19</v>
      </c>
      <c r="BI22" s="12">
        <v>19</v>
      </c>
      <c r="BJ22" s="12">
        <v>19</v>
      </c>
      <c r="BK22" s="7">
        <v>0</v>
      </c>
      <c r="BL22" s="7">
        <v>0</v>
      </c>
      <c r="BM22" s="7">
        <v>0</v>
      </c>
    </row>
    <row r="23" spans="2:65" ht="12" customHeight="1" x14ac:dyDescent="0.2">
      <c r="B23" s="4">
        <v>0</v>
      </c>
      <c r="C23" s="4">
        <v>0</v>
      </c>
      <c r="D23" s="4">
        <v>0</v>
      </c>
      <c r="E23" s="5">
        <v>121</v>
      </c>
      <c r="F23" s="108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81">
        <v>11</v>
      </c>
      <c r="M23" s="8">
        <v>81</v>
      </c>
      <c r="N23" s="12">
        <v>86</v>
      </c>
      <c r="O23" s="12">
        <v>86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69">
        <v>26</v>
      </c>
      <c r="V23" s="2">
        <v>0</v>
      </c>
      <c r="W23" s="67">
        <v>108</v>
      </c>
      <c r="X23" s="2">
        <v>0</v>
      </c>
      <c r="Y23" s="110">
        <v>58</v>
      </c>
      <c r="Z23" s="2">
        <v>0</v>
      </c>
      <c r="AA23" s="2">
        <v>0</v>
      </c>
      <c r="AB23" s="110">
        <v>58</v>
      </c>
      <c r="AC23" s="2">
        <v>0</v>
      </c>
      <c r="AD23" s="69">
        <v>26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5">
        <v>123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86</v>
      </c>
      <c r="BA23" s="12">
        <v>86</v>
      </c>
      <c r="BB23" s="17">
        <v>82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12">
        <v>17</v>
      </c>
      <c r="BI23" s="12">
        <v>13</v>
      </c>
      <c r="BJ23" s="12">
        <v>18</v>
      </c>
      <c r="BK23" s="7">
        <v>0</v>
      </c>
      <c r="BL23" s="7">
        <v>0</v>
      </c>
      <c r="BM23" s="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17">
        <v>92</v>
      </c>
      <c r="F24" s="4">
        <v>0</v>
      </c>
      <c r="G24" s="62">
        <v>40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86</v>
      </c>
      <c r="N24" s="12">
        <v>86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17">
        <v>92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86</v>
      </c>
      <c r="BA24" s="12">
        <v>86</v>
      </c>
      <c r="BB24" s="17">
        <v>82</v>
      </c>
      <c r="BC24" s="7">
        <v>0</v>
      </c>
      <c r="BD24" s="7">
        <v>0</v>
      </c>
      <c r="BE24" s="7">
        <v>0</v>
      </c>
      <c r="BF24" s="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7">
        <v>0</v>
      </c>
      <c r="BM24" s="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8">
        <v>60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10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16">
        <v>112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7">
        <v>0</v>
      </c>
      <c r="BD25" s="62">
        <v>40</v>
      </c>
      <c r="BE25" s="62">
        <v>40</v>
      </c>
      <c r="BF25" s="62">
        <v>40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7">
        <v>0</v>
      </c>
      <c r="BM25" s="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4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49">
        <v>98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7">
        <v>0</v>
      </c>
      <c r="BD26" s="62">
        <v>40</v>
      </c>
      <c r="BE26" s="62">
        <v>40</v>
      </c>
      <c r="BF26" s="62">
        <v>40</v>
      </c>
      <c r="BG26" s="12">
        <v>17</v>
      </c>
      <c r="BH26" s="12">
        <v>13</v>
      </c>
      <c r="BI26" s="92">
        <v>57</v>
      </c>
      <c r="BJ26" s="12">
        <v>13</v>
      </c>
      <c r="BK26" s="12">
        <v>18</v>
      </c>
      <c r="BL26" s="7">
        <v>0</v>
      </c>
      <c r="BM26" s="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83</v>
      </c>
      <c r="F27" s="20">
        <v>48</v>
      </c>
      <c r="G27" s="20">
        <v>48</v>
      </c>
      <c r="H27" s="20">
        <v>48</v>
      </c>
      <c r="I27" s="12">
        <v>81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9">
        <v>52</v>
      </c>
      <c r="BA29" s="2">
        <v>0</v>
      </c>
      <c r="BB29" s="9">
        <v>52</v>
      </c>
      <c r="BC29" s="2">
        <v>0</v>
      </c>
      <c r="BD29" s="9">
        <v>52</v>
      </c>
      <c r="BE29" s="12">
        <v>84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69"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69">
        <v>26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30">
        <v>25</v>
      </c>
      <c r="AX30" s="2">
        <v>0</v>
      </c>
      <c r="AY30" s="130">
        <v>25</v>
      </c>
      <c r="AZ30" s="2">
        <v>0</v>
      </c>
      <c r="BA30" s="2">
        <v>0</v>
      </c>
      <c r="BB30" s="2">
        <v>0</v>
      </c>
      <c r="BC30" s="130">
        <v>25</v>
      </c>
      <c r="BD30" s="2">
        <v>0</v>
      </c>
      <c r="BE30" s="12">
        <v>84</v>
      </c>
      <c r="BF30" s="2">
        <v>0</v>
      </c>
      <c r="BG30" s="62">
        <v>40</v>
      </c>
      <c r="BH30" s="2">
        <v>0</v>
      </c>
      <c r="BI30" s="67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69">
        <v>26</v>
      </c>
      <c r="D31" s="64">
        <v>35</v>
      </c>
      <c r="E31" s="2">
        <v>0</v>
      </c>
      <c r="F31" s="2">
        <v>0</v>
      </c>
      <c r="G31" s="2">
        <v>0</v>
      </c>
      <c r="H31" s="2">
        <v>0</v>
      </c>
      <c r="I31" s="68">
        <v>96</v>
      </c>
      <c r="J31" s="2">
        <v>0</v>
      </c>
      <c r="K31" s="68">
        <v>97</v>
      </c>
      <c r="L31" s="2">
        <v>0</v>
      </c>
      <c r="M31" s="2">
        <v>0</v>
      </c>
      <c r="N31" s="2">
        <v>0</v>
      </c>
      <c r="O31" s="2">
        <v>0</v>
      </c>
      <c r="P31" s="69">
        <v>26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127">
        <v>43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30">
        <v>25</v>
      </c>
      <c r="AS31" s="2">
        <v>0</v>
      </c>
      <c r="AT31" s="13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11">
        <v>40</v>
      </c>
      <c r="BA31" s="2">
        <v>0</v>
      </c>
      <c r="BB31" s="146">
        <v>44</v>
      </c>
      <c r="BC31" s="2">
        <v>0</v>
      </c>
      <c r="BD31" s="11">
        <v>40</v>
      </c>
      <c r="BE31" s="12">
        <v>84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5">
        <v>120</v>
      </c>
      <c r="F32" s="2">
        <v>0</v>
      </c>
      <c r="G32" s="2">
        <v>0</v>
      </c>
      <c r="H32" s="2">
        <v>0</v>
      </c>
      <c r="I32" s="12">
        <v>82</v>
      </c>
      <c r="J32" s="12">
        <v>82</v>
      </c>
      <c r="K32" s="12">
        <v>82</v>
      </c>
      <c r="L32" s="2">
        <v>0</v>
      </c>
      <c r="M32" s="2">
        <v>0</v>
      </c>
      <c r="N32" s="19">
        <v>25</v>
      </c>
      <c r="O32" s="2">
        <v>0</v>
      </c>
      <c r="P32" s="2">
        <v>0</v>
      </c>
      <c r="Q32" s="17">
        <v>78</v>
      </c>
      <c r="R32" s="17">
        <v>78</v>
      </c>
      <c r="S32" s="69">
        <v>26</v>
      </c>
      <c r="T32" s="19">
        <v>25</v>
      </c>
      <c r="U32" s="64">
        <v>35</v>
      </c>
      <c r="V32" s="62">
        <v>40</v>
      </c>
      <c r="W32" s="62">
        <v>40</v>
      </c>
      <c r="X32" s="2">
        <v>0</v>
      </c>
      <c r="Y32" s="110">
        <v>58</v>
      </c>
      <c r="Z32" s="2">
        <v>0</v>
      </c>
      <c r="AA32" s="62">
        <v>40</v>
      </c>
      <c r="AB32" s="62">
        <v>40</v>
      </c>
      <c r="AC32" s="19">
        <v>25</v>
      </c>
      <c r="AD32" s="64">
        <v>35</v>
      </c>
      <c r="AE32" s="60">
        <v>70</v>
      </c>
      <c r="AF32" s="69">
        <v>26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5">
        <v>122</v>
      </c>
      <c r="AR32" s="2">
        <v>0</v>
      </c>
      <c r="AS32" s="2">
        <v>0</v>
      </c>
      <c r="AT32" s="2">
        <v>0</v>
      </c>
      <c r="AU32" s="106">
        <v>121</v>
      </c>
      <c r="AV32" s="2">
        <v>0</v>
      </c>
      <c r="AW32" s="2">
        <v>0</v>
      </c>
      <c r="AX32" s="2">
        <v>0</v>
      </c>
      <c r="AY32" s="2">
        <v>0</v>
      </c>
      <c r="AZ32" s="8">
        <v>84</v>
      </c>
      <c r="BA32" s="69">
        <v>26</v>
      </c>
      <c r="BB32" s="8">
        <v>84</v>
      </c>
      <c r="BC32" s="69">
        <v>26</v>
      </c>
      <c r="BD32" s="8">
        <v>84</v>
      </c>
      <c r="BE32" s="12">
        <v>84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19">
        <v>25</v>
      </c>
      <c r="E33" s="17">
        <v>92</v>
      </c>
      <c r="F33" s="2">
        <v>0</v>
      </c>
      <c r="G33" s="11">
        <v>40</v>
      </c>
      <c r="H33" s="2">
        <v>0</v>
      </c>
      <c r="I33" s="9">
        <v>52</v>
      </c>
      <c r="J33" s="9">
        <v>52</v>
      </c>
      <c r="K33" s="9">
        <v>52</v>
      </c>
      <c r="L33" s="2">
        <v>0</v>
      </c>
      <c r="M33" s="2">
        <v>0</v>
      </c>
      <c r="N33" s="2">
        <v>0</v>
      </c>
      <c r="O33" s="19">
        <v>25</v>
      </c>
      <c r="P33" s="2">
        <v>0</v>
      </c>
      <c r="Q33" s="17">
        <v>78</v>
      </c>
      <c r="R33" s="17">
        <v>78</v>
      </c>
      <c r="S33" s="17">
        <v>78</v>
      </c>
      <c r="T33" s="2">
        <v>0</v>
      </c>
      <c r="U33" s="10">
        <v>110</v>
      </c>
      <c r="V33" s="110">
        <v>58</v>
      </c>
      <c r="W33" s="110">
        <v>58</v>
      </c>
      <c r="X33" s="2">
        <v>0</v>
      </c>
      <c r="Y33" s="69">
        <v>26</v>
      </c>
      <c r="Z33" s="2">
        <v>0</v>
      </c>
      <c r="AA33" s="110">
        <v>58</v>
      </c>
      <c r="AB33" s="110">
        <v>58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11">
        <v>40</v>
      </c>
      <c r="AL33" s="11">
        <v>40</v>
      </c>
      <c r="AM33" s="2">
        <v>0</v>
      </c>
      <c r="AN33" s="2">
        <v>0</v>
      </c>
      <c r="AO33" s="2">
        <v>0</v>
      </c>
      <c r="AP33" s="2">
        <v>0</v>
      </c>
      <c r="AQ33" s="17">
        <v>92</v>
      </c>
      <c r="AR33" s="2">
        <v>0</v>
      </c>
      <c r="AS33" s="2">
        <v>0</v>
      </c>
      <c r="AT33" s="2">
        <v>0</v>
      </c>
      <c r="AU33" s="107">
        <v>92</v>
      </c>
      <c r="AV33" s="2">
        <v>0</v>
      </c>
      <c r="AW33" s="2">
        <v>0</v>
      </c>
      <c r="AX33" s="11">
        <v>40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12">
        <v>84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16">
        <v>108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19">
        <v>25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17">
        <v>77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30">
        <v>25</v>
      </c>
      <c r="AU34" s="2">
        <v>0</v>
      </c>
      <c r="AV34" s="13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12">
        <v>84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83">
        <v>12</v>
      </c>
      <c r="D35" s="2">
        <v>0</v>
      </c>
      <c r="E35" s="11">
        <v>40</v>
      </c>
      <c r="F35" s="2">
        <v>0</v>
      </c>
      <c r="G35" s="11">
        <v>40</v>
      </c>
      <c r="H35" s="2">
        <v>0</v>
      </c>
      <c r="I35" s="11">
        <v>40</v>
      </c>
      <c r="J35" s="2">
        <v>0</v>
      </c>
      <c r="K35" s="11">
        <v>40</v>
      </c>
      <c r="L35" s="2">
        <v>0</v>
      </c>
      <c r="M35" s="11">
        <v>40</v>
      </c>
      <c r="N35" s="2">
        <v>0</v>
      </c>
      <c r="O35" s="11">
        <v>40</v>
      </c>
      <c r="P35" s="2">
        <v>0</v>
      </c>
      <c r="Q35" s="2">
        <v>0</v>
      </c>
      <c r="R35" s="17">
        <v>77</v>
      </c>
      <c r="S35" s="17">
        <v>77</v>
      </c>
      <c r="T35" s="2">
        <v>0</v>
      </c>
      <c r="U35" s="2">
        <v>0</v>
      </c>
      <c r="V35" s="62">
        <v>40</v>
      </c>
      <c r="W35" s="2">
        <v>0</v>
      </c>
      <c r="X35" s="87">
        <v>99</v>
      </c>
      <c r="Y35" s="2">
        <v>0</v>
      </c>
      <c r="Z35" s="2">
        <v>0</v>
      </c>
      <c r="AA35" s="2">
        <v>0</v>
      </c>
      <c r="AB35" s="62">
        <v>40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16">
        <v>112</v>
      </c>
      <c r="AR35" s="87">
        <v>99</v>
      </c>
      <c r="AS35" s="2">
        <v>0</v>
      </c>
      <c r="AT35" s="2">
        <v>0</v>
      </c>
      <c r="AU35" s="2">
        <v>0</v>
      </c>
      <c r="AV35" s="2">
        <v>0</v>
      </c>
      <c r="AW35" s="11">
        <v>40</v>
      </c>
      <c r="AX35" s="11">
        <v>40</v>
      </c>
      <c r="AY35" s="11">
        <v>40</v>
      </c>
      <c r="AZ35" s="2">
        <v>0</v>
      </c>
      <c r="BA35" s="62">
        <v>40</v>
      </c>
      <c r="BB35" s="2">
        <v>0</v>
      </c>
      <c r="BC35" s="2">
        <v>0</v>
      </c>
      <c r="BD35" s="70">
        <v>104</v>
      </c>
      <c r="BE35" s="33">
        <v>74</v>
      </c>
      <c r="BF35" s="2">
        <v>0</v>
      </c>
      <c r="BG35" s="62">
        <v>40</v>
      </c>
      <c r="BH35" s="2">
        <v>0</v>
      </c>
      <c r="BI35" s="62">
        <v>40</v>
      </c>
      <c r="BJ35" s="2">
        <v>0</v>
      </c>
      <c r="BK35" s="87">
        <v>99</v>
      </c>
      <c r="BL35" s="12">
        <v>37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10">
        <v>58</v>
      </c>
      <c r="AM36" s="110">
        <v>58</v>
      </c>
      <c r="AN36" s="2">
        <v>0</v>
      </c>
      <c r="AO36" s="2">
        <v>0</v>
      </c>
      <c r="AP36" s="2">
        <v>0</v>
      </c>
      <c r="AQ36" s="82">
        <v>63</v>
      </c>
      <c r="AR36" s="82">
        <v>63</v>
      </c>
      <c r="AS36" s="82">
        <v>63</v>
      </c>
      <c r="AT36" s="15">
        <v>70</v>
      </c>
      <c r="AU36" s="82">
        <v>63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7">
        <v>78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11">
        <v>40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2">
        <v>0</v>
      </c>
      <c r="AR37" s="2">
        <v>0</v>
      </c>
      <c r="AS37" s="2">
        <v>0</v>
      </c>
      <c r="AT37" s="15">
        <v>70</v>
      </c>
      <c r="AU37" s="2">
        <v>0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7">
        <v>78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10">
        <v>58</v>
      </c>
      <c r="AK38" s="110">
        <v>58</v>
      </c>
      <c r="AL38" s="2">
        <v>0</v>
      </c>
      <c r="AM38" s="2">
        <v>0</v>
      </c>
      <c r="AN38" s="62">
        <v>40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19">
        <v>25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73">
        <v>68</v>
      </c>
      <c r="BI38" s="2">
        <v>0</v>
      </c>
      <c r="BJ38" s="19">
        <v>25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11">
        <v>40</v>
      </c>
      <c r="X39" s="2">
        <v>0</v>
      </c>
      <c r="Y39" s="2">
        <v>0</v>
      </c>
      <c r="Z39" s="11">
        <v>40</v>
      </c>
      <c r="AA39" s="74">
        <v>108</v>
      </c>
      <c r="AB39" s="11">
        <v>40</v>
      </c>
      <c r="AC39" s="2">
        <v>0</v>
      </c>
      <c r="AD39" s="2">
        <v>0</v>
      </c>
      <c r="AE39" s="11">
        <v>40</v>
      </c>
      <c r="AF39" s="11">
        <v>40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10">
        <v>58</v>
      </c>
      <c r="AN39" s="110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76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73">
        <v>68</v>
      </c>
      <c r="BI39" s="2">
        <v>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17">
        <v>78</v>
      </c>
      <c r="R40" s="17">
        <v>78</v>
      </c>
      <c r="S40" s="2">
        <v>0</v>
      </c>
      <c r="T40" s="2">
        <v>0</v>
      </c>
      <c r="U40" s="2">
        <v>0</v>
      </c>
      <c r="V40" s="11">
        <v>40</v>
      </c>
      <c r="W40" s="11">
        <v>40</v>
      </c>
      <c r="X40" s="2">
        <v>0</v>
      </c>
      <c r="Y40" s="2">
        <v>0</v>
      </c>
      <c r="Z40" s="11">
        <v>40</v>
      </c>
      <c r="AA40" s="146">
        <v>43</v>
      </c>
      <c r="AB40" s="11">
        <v>40</v>
      </c>
      <c r="AC40" s="2">
        <v>0</v>
      </c>
      <c r="AD40" s="2">
        <v>0</v>
      </c>
      <c r="AE40" s="11">
        <v>40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10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11">
        <v>40</v>
      </c>
      <c r="AS40" s="2">
        <v>0</v>
      </c>
      <c r="AT40" s="15">
        <v>70</v>
      </c>
      <c r="AU40" s="2">
        <v>0</v>
      </c>
      <c r="AV40" s="11">
        <v>40</v>
      </c>
      <c r="AW40" s="2">
        <v>0</v>
      </c>
      <c r="AX40" s="146">
        <v>41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11">
        <v>40</v>
      </c>
      <c r="BF40" s="69">
        <v>26</v>
      </c>
      <c r="BG40" s="2">
        <v>0</v>
      </c>
      <c r="BH40" s="73">
        <v>68</v>
      </c>
      <c r="BI40" s="2">
        <v>0</v>
      </c>
      <c r="BJ40" s="69">
        <v>26</v>
      </c>
      <c r="BK40" s="146">
        <v>45</v>
      </c>
      <c r="BL40" s="69">
        <v>26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34">
        <v>75</v>
      </c>
      <c r="R41" s="2">
        <v>0</v>
      </c>
      <c r="S41" s="11">
        <v>40</v>
      </c>
      <c r="T41" s="11">
        <v>40</v>
      </c>
      <c r="U41" s="11">
        <v>40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10">
        <v>58</v>
      </c>
      <c r="AL41" s="2">
        <v>0</v>
      </c>
      <c r="AM41" s="130">
        <v>25</v>
      </c>
      <c r="AN41" s="2">
        <v>0</v>
      </c>
      <c r="AO41" s="130">
        <v>25</v>
      </c>
      <c r="AP41" s="2">
        <v>0</v>
      </c>
      <c r="AQ41" s="69">
        <v>26</v>
      </c>
      <c r="AR41" s="110">
        <v>58</v>
      </c>
      <c r="AS41" s="69">
        <v>26</v>
      </c>
      <c r="AT41" s="15">
        <v>70</v>
      </c>
      <c r="AU41" s="2">
        <v>0</v>
      </c>
      <c r="AV41" s="110">
        <v>58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76">
        <v>113</v>
      </c>
      <c r="BD41" s="64">
        <v>35</v>
      </c>
      <c r="BE41" s="110">
        <v>58</v>
      </c>
      <c r="BF41" s="2">
        <v>0</v>
      </c>
      <c r="BG41" s="2">
        <v>0</v>
      </c>
      <c r="BH41" s="73">
        <v>68</v>
      </c>
      <c r="BI41" s="2">
        <v>0</v>
      </c>
      <c r="BJ41" s="2">
        <v>0</v>
      </c>
      <c r="BK41" s="110">
        <v>58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110">
        <v>58</v>
      </c>
      <c r="T42" s="82">
        <v>63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11">
        <v>40</v>
      </c>
      <c r="AN42" s="2">
        <v>0</v>
      </c>
      <c r="AO42" s="2">
        <v>0</v>
      </c>
      <c r="AP42" s="2">
        <v>0</v>
      </c>
      <c r="AQ42" s="2">
        <v>0</v>
      </c>
      <c r="AR42" s="130">
        <v>25</v>
      </c>
      <c r="AS42" s="2">
        <v>0</v>
      </c>
      <c r="AT42" s="15">
        <v>70</v>
      </c>
      <c r="AU42" s="2">
        <v>0</v>
      </c>
      <c r="AV42" s="5">
        <v>121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10">
        <v>58</v>
      </c>
      <c r="AM43" s="110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17">
        <v>92</v>
      </c>
      <c r="AW43" s="2">
        <v>0</v>
      </c>
      <c r="AX43" s="2">
        <v>0</v>
      </c>
      <c r="AY43" s="2">
        <v>0</v>
      </c>
      <c r="AZ43" s="64">
        <v>35</v>
      </c>
      <c r="BA43" s="76">
        <v>113</v>
      </c>
      <c r="BB43" s="15">
        <v>70</v>
      </c>
      <c r="BC43" s="2">
        <v>0</v>
      </c>
      <c r="BD43" s="64">
        <v>35</v>
      </c>
      <c r="BE43" s="19">
        <v>25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83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62">
        <v>40</v>
      </c>
      <c r="J44" s="62">
        <v>40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33">
        <v>38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16">
        <v>112</v>
      </c>
      <c r="AQ44" s="2">
        <v>0</v>
      </c>
      <c r="AR44" s="11">
        <v>40</v>
      </c>
      <c r="AS44" s="2">
        <v>0</v>
      </c>
      <c r="AT44" s="15">
        <v>70</v>
      </c>
      <c r="AU44" s="2">
        <v>0</v>
      </c>
      <c r="AV44" s="11">
        <v>40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9">
        <v>53</v>
      </c>
      <c r="BG44" s="2">
        <v>0</v>
      </c>
      <c r="BH44" s="9">
        <v>53</v>
      </c>
      <c r="BI44" s="2">
        <v>0</v>
      </c>
      <c r="BJ44" s="9">
        <v>53</v>
      </c>
      <c r="BK44" s="87">
        <v>99</v>
      </c>
      <c r="BL44" s="9">
        <v>53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10">
        <v>58</v>
      </c>
      <c r="AL45" s="110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2">
        <v>0</v>
      </c>
      <c r="F47" s="109">
        <v>0</v>
      </c>
      <c r="G47" s="109">
        <v>0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109">
        <v>0</v>
      </c>
      <c r="O47" s="109">
        <v>0</v>
      </c>
      <c r="P47" s="109">
        <v>0</v>
      </c>
      <c r="Q47" s="109">
        <v>0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10">
        <v>58</v>
      </c>
      <c r="AN47" s="3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64">
        <v>27</v>
      </c>
      <c r="AY47" s="15">
        <v>70</v>
      </c>
      <c r="AZ47" s="64">
        <v>27</v>
      </c>
      <c r="BA47" s="64">
        <v>28</v>
      </c>
      <c r="BB47" s="64">
        <v>27</v>
      </c>
      <c r="BC47" s="64">
        <v>28</v>
      </c>
      <c r="BD47" s="64">
        <v>27</v>
      </c>
      <c r="BE47" s="64">
        <v>28</v>
      </c>
      <c r="BF47" s="64">
        <v>27</v>
      </c>
      <c r="BG47" s="12">
        <v>84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67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25">
        <v>125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5">
        <v>123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30">
        <v>25</v>
      </c>
      <c r="BD48" s="2">
        <v>0</v>
      </c>
      <c r="BE48" s="2">
        <v>0</v>
      </c>
      <c r="BF48" s="2">
        <v>0</v>
      </c>
      <c r="BG48" s="12">
        <v>84</v>
      </c>
      <c r="BH48" s="69">
        <v>26</v>
      </c>
      <c r="BI48" s="130">
        <v>25</v>
      </c>
      <c r="BJ48" s="2">
        <v>0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40</v>
      </c>
      <c r="Z49" s="2">
        <v>0</v>
      </c>
      <c r="AA49" s="111">
        <v>93</v>
      </c>
      <c r="AB49" s="2">
        <v>0</v>
      </c>
      <c r="AC49" s="11">
        <v>40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7">
        <v>92</v>
      </c>
      <c r="AM49" s="2">
        <v>0</v>
      </c>
      <c r="AN49" s="11">
        <v>40</v>
      </c>
      <c r="AO49" s="2">
        <v>0</v>
      </c>
      <c r="AP49" s="2">
        <v>0</v>
      </c>
      <c r="AQ49" s="11">
        <v>40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34">
        <v>39</v>
      </c>
      <c r="BD49" s="2">
        <v>0</v>
      </c>
      <c r="BE49" s="2">
        <v>0</v>
      </c>
      <c r="BF49" s="2">
        <v>0</v>
      </c>
      <c r="BG49" s="12">
        <v>84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3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3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110">
        <v>58</v>
      </c>
      <c r="Z50" s="2">
        <v>0</v>
      </c>
      <c r="AA50" s="2">
        <v>0</v>
      </c>
      <c r="AB50" s="130">
        <v>25</v>
      </c>
      <c r="AC50" s="110">
        <v>58</v>
      </c>
      <c r="AD50" s="130">
        <v>25</v>
      </c>
      <c r="AE50" s="2">
        <v>0</v>
      </c>
      <c r="AF50" s="2">
        <v>0</v>
      </c>
      <c r="AG50" s="62">
        <v>40</v>
      </c>
      <c r="AH50" s="62">
        <v>40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10">
        <v>58</v>
      </c>
      <c r="AO50" s="2">
        <v>0</v>
      </c>
      <c r="AP50" s="67">
        <v>106</v>
      </c>
      <c r="AQ50" s="110">
        <v>58</v>
      </c>
      <c r="AR50" s="2">
        <v>0</v>
      </c>
      <c r="AS50" s="2">
        <v>0</v>
      </c>
      <c r="AT50" s="130">
        <v>25</v>
      </c>
      <c r="AU50" s="2">
        <v>0</v>
      </c>
      <c r="AV50" s="13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110">
        <v>58</v>
      </c>
      <c r="BD50" s="2">
        <v>0</v>
      </c>
      <c r="BE50" s="69">
        <v>26</v>
      </c>
      <c r="BF50" s="16">
        <v>112</v>
      </c>
      <c r="BG50" s="12">
        <v>73</v>
      </c>
      <c r="BH50" s="11">
        <v>40</v>
      </c>
      <c r="BI50" s="11">
        <v>40</v>
      </c>
      <c r="BJ50" s="11">
        <v>40</v>
      </c>
      <c r="BK50" s="127">
        <v>42</v>
      </c>
      <c r="BL50" s="11">
        <v>40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3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3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11">
        <v>40</v>
      </c>
      <c r="AA51" s="87">
        <v>99</v>
      </c>
      <c r="AB51" s="11">
        <v>40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10">
        <v>58</v>
      </c>
      <c r="AJ51" s="2">
        <v>0</v>
      </c>
      <c r="AK51" s="16">
        <v>112</v>
      </c>
      <c r="AL51" s="62">
        <v>40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30">
        <v>25</v>
      </c>
      <c r="BC51" s="2">
        <v>0</v>
      </c>
      <c r="BD51" s="130">
        <v>25</v>
      </c>
      <c r="BE51" s="11">
        <v>40</v>
      </c>
      <c r="BF51" s="110">
        <v>58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30">
        <v>25</v>
      </c>
      <c r="Q52" s="2">
        <v>0</v>
      </c>
      <c r="R52" s="2">
        <v>0</v>
      </c>
      <c r="S52" s="2">
        <v>0</v>
      </c>
      <c r="T52" s="2">
        <v>0</v>
      </c>
      <c r="U52" s="130">
        <v>25</v>
      </c>
      <c r="V52" s="2">
        <v>0</v>
      </c>
      <c r="W52" s="13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11">
        <v>40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10">
        <v>58</v>
      </c>
      <c r="AL52" s="110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30">
        <v>25</v>
      </c>
      <c r="AS52" s="2">
        <v>0</v>
      </c>
      <c r="AT52" s="13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11">
        <v>40</v>
      </c>
      <c r="BE52" s="110">
        <v>58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83">
        <v>12</v>
      </c>
      <c r="D53" s="62">
        <v>40</v>
      </c>
      <c r="E53" s="2">
        <v>0</v>
      </c>
      <c r="F53" s="2">
        <v>0</v>
      </c>
      <c r="G53" s="62">
        <v>40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62">
        <v>40</v>
      </c>
      <c r="O53" s="2">
        <v>0</v>
      </c>
      <c r="P53" s="2">
        <v>0</v>
      </c>
      <c r="Q53" s="2">
        <v>0</v>
      </c>
      <c r="R53" s="2">
        <v>0</v>
      </c>
      <c r="S53" s="16">
        <v>112</v>
      </c>
      <c r="T53" s="2">
        <v>0</v>
      </c>
      <c r="U53" s="2">
        <v>0</v>
      </c>
      <c r="V53" s="2">
        <v>0</v>
      </c>
      <c r="W53" s="11">
        <v>40</v>
      </c>
      <c r="X53" s="11">
        <v>40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11">
        <v>40</v>
      </c>
      <c r="AQ53" s="2">
        <v>0</v>
      </c>
      <c r="AR53" s="11">
        <v>40</v>
      </c>
      <c r="AS53" s="2">
        <v>0</v>
      </c>
      <c r="AT53" s="11">
        <v>40</v>
      </c>
      <c r="AU53" s="2">
        <v>0</v>
      </c>
      <c r="AV53" s="76">
        <v>100</v>
      </c>
      <c r="AW53" s="2">
        <v>0</v>
      </c>
      <c r="AX53" s="11">
        <v>40</v>
      </c>
      <c r="AY53" s="2">
        <v>0</v>
      </c>
      <c r="AZ53" s="11">
        <v>40</v>
      </c>
      <c r="BA53" s="2">
        <v>0</v>
      </c>
      <c r="BB53" s="11">
        <v>40</v>
      </c>
      <c r="BC53" s="2">
        <v>0</v>
      </c>
      <c r="BD53" s="110">
        <v>58</v>
      </c>
      <c r="BE53" s="2">
        <v>0</v>
      </c>
      <c r="BF53" s="76">
        <v>100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  <row r="56" spans="2:65" ht="16" thickBot="1" x14ac:dyDescent="0.25"/>
    <row r="57" spans="2:65" x14ac:dyDescent="0.2">
      <c r="B57" s="134" t="s">
        <v>177</v>
      </c>
      <c r="C57" s="135"/>
      <c r="D57" s="135"/>
      <c r="E57" s="140">
        <f>COUNTIF($B$2:$IW$10,40)</f>
        <v>100</v>
      </c>
      <c r="F57" s="131">
        <v>100</v>
      </c>
    </row>
    <row r="58" spans="2:65" x14ac:dyDescent="0.2">
      <c r="B58" s="136" t="s">
        <v>178</v>
      </c>
      <c r="C58" s="137"/>
      <c r="D58" s="137"/>
      <c r="E58" s="141">
        <f>COUNTIF($B$2:$IW$10,120) + COUNTIF($B$2:$IW$10,121)</f>
        <v>4</v>
      </c>
      <c r="F58" s="132">
        <v>4</v>
      </c>
    </row>
    <row r="59" spans="2:65" x14ac:dyDescent="0.2">
      <c r="B59" s="136" t="s">
        <v>179</v>
      </c>
      <c r="C59" s="137"/>
      <c r="D59" s="137"/>
      <c r="E59" s="141">
        <f>COUNTIF($B$2:$IW$10,122) + COUNTIF($B$2:$IW$10,123)</f>
        <v>4</v>
      </c>
      <c r="F59" s="132">
        <v>4</v>
      </c>
    </row>
    <row r="60" spans="2:65" x14ac:dyDescent="0.2">
      <c r="B60" s="136" t="s">
        <v>180</v>
      </c>
      <c r="C60" s="137"/>
      <c r="D60" s="137"/>
      <c r="E60" s="141">
        <f>COUNTIF($B$2:$IW$10,125) + COUNTIF($B$2:$IW$10,126)</f>
        <v>1</v>
      </c>
      <c r="F60" s="132">
        <v>1</v>
      </c>
    </row>
    <row r="61" spans="2:65" x14ac:dyDescent="0.2">
      <c r="B61" s="136" t="s">
        <v>181</v>
      </c>
      <c r="C61" s="137"/>
      <c r="D61" s="137"/>
      <c r="E61" s="141">
        <f>COUNTIF($B$2:$IW$10,41) + COUNTIF($B$2:$IW$10,42)+COUNTIF($B$2:$IW$10,43) + COUNTIF($B$2:$IW$10,44)+COUNTIF($B$2:$IW$10,45) + COUNTIF($B$2:$IW$10,46)</f>
        <v>6</v>
      </c>
      <c r="F61" s="132">
        <v>6</v>
      </c>
    </row>
    <row r="62" spans="2:65" x14ac:dyDescent="0.2">
      <c r="B62" s="136" t="s">
        <v>182</v>
      </c>
      <c r="C62" s="137"/>
      <c r="D62" s="137"/>
      <c r="E62" s="141">
        <f>COUNTIF($B$2:$IW$10,47)</f>
        <v>1</v>
      </c>
      <c r="F62" s="132">
        <v>1</v>
      </c>
    </row>
    <row r="63" spans="2:65" x14ac:dyDescent="0.2">
      <c r="B63" s="136" t="s">
        <v>183</v>
      </c>
      <c r="C63" s="137"/>
      <c r="D63" s="137"/>
      <c r="E63" s="141">
        <f>COUNTIF($B$2:$IW$10,36) + COUNTIF($B$2:$IW$10,37)+COUNTIF($B$2:$IW$10,38) + COUNTIF($B$2:$IW$10,39)</f>
        <v>4</v>
      </c>
      <c r="F63" s="132">
        <v>4</v>
      </c>
    </row>
    <row r="64" spans="2:65" ht="16" thickBot="1" x14ac:dyDescent="0.25">
      <c r="B64" s="138" t="s">
        <v>184</v>
      </c>
      <c r="C64" s="139"/>
      <c r="D64" s="139"/>
      <c r="E64" s="142">
        <f>COUNTIF($B$2:$IW$10,72) + COUNTIF($B$2:$IW$10,73)+COUNTIF($B$2:$IW$10,74) + COUNTIF($B$2:$IW$10,75)</f>
        <v>4</v>
      </c>
      <c r="F64" s="133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11</xdr:row>
                    <xdr:rowOff>12700</xdr:rowOff>
                  </from>
                  <to>
                    <xdr:col>10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26" sqref="P26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1">
        <v>80</v>
      </c>
      <c r="DW2" s="101">
        <v>80</v>
      </c>
      <c r="DX2" s="101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3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3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3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3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3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3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3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1">
        <v>80</v>
      </c>
      <c r="DW3" s="101">
        <v>80</v>
      </c>
      <c r="DX3" s="101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3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3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3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3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3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3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3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1">
        <v>80</v>
      </c>
      <c r="DW4" s="101">
        <v>80</v>
      </c>
      <c r="DX4" s="101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3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3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3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3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3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3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3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1">
        <v>80</v>
      </c>
      <c r="DW5" s="101">
        <v>80</v>
      </c>
      <c r="DX5" s="101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3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3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3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3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3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3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3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1">
        <v>80</v>
      </c>
      <c r="DW6" s="101">
        <v>80</v>
      </c>
      <c r="DX6" s="101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3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3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3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3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3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3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3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1">
        <v>80</v>
      </c>
      <c r="DW7" s="101">
        <v>80</v>
      </c>
      <c r="DX7" s="101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3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3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3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3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3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3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3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1">
        <v>80</v>
      </c>
      <c r="DW8" s="101">
        <v>80</v>
      </c>
      <c r="DX8" s="101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3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3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3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3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3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3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3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2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2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2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2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2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2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2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3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3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3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3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3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3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3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3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3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3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3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3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3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3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3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3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3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3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3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3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3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3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19" t="s">
        <v>147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20"/>
      <c r="BN11" s="119" t="s">
        <v>148</v>
      </c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21" t="s">
        <v>149</v>
      </c>
      <c r="EA11" s="122"/>
      <c r="EB11" s="122"/>
      <c r="EC11" s="122"/>
      <c r="ED11" s="122"/>
      <c r="EE11" s="122"/>
      <c r="EF11" s="122"/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2"/>
      <c r="ET11" s="122"/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/>
      <c r="FT11" s="122"/>
      <c r="FU11" s="122"/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2"/>
      <c r="GI11" s="122"/>
      <c r="GJ11" s="122"/>
      <c r="GK11" s="123"/>
      <c r="GL11" s="124" t="s">
        <v>150</v>
      </c>
      <c r="GM11" s="122"/>
      <c r="GN11" s="122"/>
      <c r="GO11" s="122"/>
      <c r="GP11" s="122"/>
      <c r="GQ11" s="122"/>
      <c r="GR11" s="122"/>
      <c r="GS11" s="122"/>
      <c r="GT11" s="122"/>
      <c r="GU11" s="122"/>
      <c r="GV11" s="122"/>
      <c r="GW11" s="122"/>
      <c r="GX11" s="122"/>
      <c r="GY11" s="122"/>
      <c r="GZ11" s="122"/>
      <c r="HA11" s="122"/>
      <c r="HB11" s="122"/>
      <c r="HC11" s="122"/>
      <c r="HD11" s="122"/>
      <c r="HE11" s="122"/>
      <c r="HF11" s="122"/>
      <c r="HG11" s="122"/>
      <c r="HH11" s="122"/>
      <c r="HI11" s="122"/>
      <c r="HJ11" s="122"/>
      <c r="HK11" s="122"/>
      <c r="HL11" s="122"/>
      <c r="HM11" s="122"/>
      <c r="HN11" s="122"/>
      <c r="HO11" s="122"/>
      <c r="HP11" s="122"/>
      <c r="HQ11" s="122"/>
      <c r="HR11" s="122"/>
      <c r="HS11" s="122"/>
      <c r="HT11" s="122"/>
      <c r="HU11" s="122"/>
      <c r="HV11" s="122"/>
      <c r="HW11" s="122"/>
      <c r="HX11" s="122"/>
      <c r="HY11" s="122"/>
      <c r="HZ11" s="122"/>
      <c r="IA11" s="122"/>
      <c r="IB11" s="122"/>
      <c r="IC11" s="122"/>
      <c r="ID11" s="122"/>
      <c r="IE11" s="122"/>
      <c r="IF11" s="122"/>
      <c r="IG11" s="122"/>
      <c r="IH11" s="122"/>
      <c r="II11" s="122"/>
      <c r="IJ11" s="122"/>
      <c r="IK11" s="122"/>
      <c r="IL11" s="122"/>
      <c r="IM11" s="122"/>
      <c r="IN11" s="122"/>
      <c r="IO11" s="122"/>
      <c r="IP11" s="122"/>
      <c r="IQ11" s="122"/>
      <c r="IR11" s="122"/>
      <c r="IS11" s="122"/>
      <c r="IT11" s="122"/>
      <c r="IU11" s="122"/>
      <c r="IV11" s="122"/>
      <c r="IW11" s="123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1">
        <v>80</v>
      </c>
      <c r="DW19" s="101">
        <v>80</v>
      </c>
      <c r="DX19" s="101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1">
        <v>80</v>
      </c>
      <c r="DW20" s="101">
        <v>80</v>
      </c>
      <c r="DX20" s="101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1">
        <v>80</v>
      </c>
      <c r="DW21" s="101">
        <v>80</v>
      </c>
      <c r="DX21" s="101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1">
        <v>80</v>
      </c>
      <c r="DW22" s="101">
        <v>80</v>
      </c>
      <c r="DX22" s="101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1">
        <v>80</v>
      </c>
      <c r="DW23" s="101">
        <v>80</v>
      </c>
      <c r="DX23" s="101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1">
        <v>80</v>
      </c>
      <c r="DW24" s="101">
        <v>80</v>
      </c>
      <c r="DX24" s="101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1">
        <v>80</v>
      </c>
      <c r="DW25" s="101">
        <v>80</v>
      </c>
      <c r="DX25" s="101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2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2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2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2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2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2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2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3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3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3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3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3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3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3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3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3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3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3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3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3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3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3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3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3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3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3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3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3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3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3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3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3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3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3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3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3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3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3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3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3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3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3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3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3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3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3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3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3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3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3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3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3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3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3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3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3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3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3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3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3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3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3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3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3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3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3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3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3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3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3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3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3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3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3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3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3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3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3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topLeftCell="A26" workbookViewId="0">
      <selection activeCell="H35" sqref="H35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3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3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3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3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3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3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3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3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3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3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3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3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3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3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3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3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3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3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3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3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3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3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3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3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3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3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3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3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3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3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3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3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3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3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3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3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3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3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3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3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3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3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3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3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3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3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3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3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3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3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3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3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3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3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3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3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3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3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3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3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3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3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3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3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3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3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3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3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3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3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3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3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3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3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3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3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3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3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3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3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3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3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3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3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3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3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3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3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3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3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3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3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3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3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3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3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3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3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3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3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3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3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3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3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3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3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3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3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3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3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3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3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3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3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3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3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3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3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3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3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3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3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3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3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3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3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3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3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3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3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3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3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3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3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3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3">
        <v>80</v>
      </c>
    </row>
    <row r="11" spans="1:257" ht="12" customHeight="1" x14ac:dyDescent="0.2"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6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6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6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6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6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6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6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6"/>
      <c r="DZ11" s="97"/>
      <c r="EA11" s="98"/>
      <c r="EB11" s="98"/>
      <c r="EC11" s="98"/>
      <c r="ED11" s="98"/>
      <c r="EE11" s="98"/>
      <c r="EF11" s="98"/>
      <c r="EG11" s="98"/>
      <c r="EH11" s="98"/>
      <c r="EI11" s="98"/>
      <c r="EJ11" s="98"/>
      <c r="EK11" s="98"/>
      <c r="EL11" s="98"/>
      <c r="EM11" s="98"/>
      <c r="EN11" s="98"/>
      <c r="EO11" s="100"/>
      <c r="EP11" s="98"/>
      <c r="EQ11" s="98"/>
      <c r="ER11" s="98"/>
      <c r="ES11" s="98"/>
      <c r="ET11" s="98"/>
      <c r="EU11" s="98"/>
      <c r="EV11" s="98"/>
      <c r="EW11" s="98"/>
      <c r="EX11" s="98"/>
      <c r="EY11" s="98"/>
      <c r="EZ11" s="98"/>
      <c r="FA11" s="98"/>
      <c r="FB11" s="98"/>
      <c r="FC11" s="98"/>
      <c r="FD11" s="98"/>
      <c r="FE11" s="100"/>
      <c r="FF11" s="98"/>
      <c r="FG11" s="98"/>
      <c r="FH11" s="98"/>
      <c r="FI11" s="98"/>
      <c r="FJ11" s="98"/>
      <c r="FK11" s="98"/>
      <c r="FL11" s="98"/>
      <c r="FM11" s="98"/>
      <c r="FN11" s="98"/>
      <c r="FO11" s="98"/>
      <c r="FP11" s="98"/>
      <c r="FQ11" s="98"/>
      <c r="FR11" s="98"/>
      <c r="FS11" s="98"/>
      <c r="FT11" s="98"/>
      <c r="FU11" s="100"/>
      <c r="FV11" s="98"/>
      <c r="FW11" s="98"/>
      <c r="FX11" s="98"/>
      <c r="FY11" s="98"/>
      <c r="FZ11" s="98"/>
      <c r="GA11" s="98"/>
      <c r="GB11" s="98"/>
      <c r="GC11" s="98"/>
      <c r="GD11" s="98"/>
      <c r="GE11" s="98"/>
      <c r="GF11" s="98"/>
      <c r="GG11" s="98"/>
      <c r="GH11" s="98"/>
      <c r="GI11" s="98"/>
      <c r="GJ11" s="98"/>
      <c r="GK11" s="100"/>
      <c r="GL11" s="98"/>
      <c r="GM11" s="98"/>
      <c r="GN11" s="98"/>
      <c r="GO11" s="98"/>
      <c r="GP11" s="98"/>
      <c r="GQ11" s="98"/>
      <c r="GR11" s="98"/>
      <c r="GS11" s="98"/>
      <c r="GT11" s="98"/>
      <c r="GU11" s="98"/>
      <c r="GV11" s="98"/>
      <c r="GW11" s="98"/>
      <c r="GX11" s="98"/>
      <c r="GY11" s="98"/>
      <c r="GZ11" s="98"/>
      <c r="HA11" s="100"/>
      <c r="HB11" s="98"/>
      <c r="HC11" s="98"/>
      <c r="HD11" s="98"/>
      <c r="HE11" s="98"/>
      <c r="HF11" s="98"/>
      <c r="HG11" s="98"/>
      <c r="HH11" s="98"/>
      <c r="HI11" s="98"/>
      <c r="HJ11" s="98"/>
      <c r="HK11" s="98"/>
      <c r="HL11" s="98"/>
      <c r="HM11" s="98"/>
      <c r="HN11" s="98"/>
      <c r="HO11" s="98"/>
      <c r="HP11" s="98"/>
      <c r="HQ11" s="100"/>
      <c r="HR11" s="98"/>
      <c r="HS11" s="98"/>
      <c r="HT11" s="98"/>
      <c r="HU11" s="98"/>
      <c r="HV11" s="98"/>
      <c r="HW11" s="98"/>
      <c r="HX11" s="98"/>
      <c r="HY11" s="98"/>
      <c r="HZ11" s="98"/>
      <c r="IA11" s="98"/>
      <c r="IB11" s="98"/>
      <c r="IC11" s="98"/>
      <c r="ID11" s="98"/>
      <c r="IE11" s="98"/>
      <c r="IF11" s="98"/>
      <c r="IG11" s="100"/>
      <c r="IH11" s="98"/>
      <c r="II11" s="98"/>
      <c r="IJ11" s="98"/>
      <c r="IK11" s="98"/>
      <c r="IL11" s="98"/>
      <c r="IM11" s="98"/>
      <c r="IN11" s="98"/>
      <c r="IO11" s="98"/>
      <c r="IP11" s="98"/>
      <c r="IQ11" s="98"/>
      <c r="IR11" s="98"/>
      <c r="IS11" s="98"/>
      <c r="IT11" s="98"/>
      <c r="IU11" s="98"/>
      <c r="IV11" s="98"/>
      <c r="IW11" s="9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3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3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3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3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3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3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3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3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3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3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3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3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3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3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3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3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3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3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3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3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3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3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3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3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3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3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3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3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3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3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3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3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3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3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3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3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3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3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3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3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3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3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3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3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3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3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3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3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3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3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3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3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3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3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3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3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3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3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3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3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3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3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3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3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3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3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3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3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3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3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3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3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3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3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3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3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3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3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3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3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3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3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3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3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3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3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3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3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3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3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3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3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3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3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3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3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3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3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3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3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3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3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3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3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3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3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3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3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3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3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3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3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3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3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3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3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3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3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3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3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3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3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3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3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3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3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3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3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3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3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3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3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3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3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3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3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89" zoomScale="120" zoomScaleNormal="120" workbookViewId="0">
      <selection activeCell="A109" sqref="A109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174</v>
      </c>
    </row>
    <row r="13" spans="1:2" x14ac:dyDescent="0.25">
      <c r="A13" s="27">
        <v>12</v>
      </c>
      <c r="B13" s="24" t="s">
        <v>175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100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100</v>
      </c>
    </row>
    <row r="26" spans="1:2" x14ac:dyDescent="0.25">
      <c r="A26" s="59">
        <v>25</v>
      </c>
      <c r="B26" s="24" t="s">
        <v>101</v>
      </c>
    </row>
    <row r="27" spans="1:2" x14ac:dyDescent="0.25">
      <c r="A27" s="32">
        <v>26</v>
      </c>
      <c r="B27" s="24" t="s">
        <v>102</v>
      </c>
    </row>
    <row r="28" spans="1:2" x14ac:dyDescent="0.25">
      <c r="A28" s="31">
        <v>27</v>
      </c>
      <c r="B28" s="24" t="s">
        <v>151</v>
      </c>
    </row>
    <row r="29" spans="1:2" x14ac:dyDescent="0.25">
      <c r="A29" s="31">
        <v>28</v>
      </c>
      <c r="B29" s="24" t="s">
        <v>152</v>
      </c>
    </row>
    <row r="30" spans="1:2" x14ac:dyDescent="0.25">
      <c r="A30" s="31">
        <v>29</v>
      </c>
      <c r="B30" s="24" t="s">
        <v>172</v>
      </c>
    </row>
    <row r="31" spans="1:2" x14ac:dyDescent="0.25">
      <c r="A31" s="31">
        <v>30</v>
      </c>
      <c r="B31" s="24" t="s">
        <v>171</v>
      </c>
    </row>
    <row r="32" spans="1:2" x14ac:dyDescent="0.25">
      <c r="A32" s="31">
        <v>31</v>
      </c>
      <c r="B32" s="24" t="s">
        <v>173</v>
      </c>
    </row>
    <row r="33" spans="1:4" x14ac:dyDescent="0.25">
      <c r="A33" s="58">
        <v>32</v>
      </c>
      <c r="B33" s="24" t="s">
        <v>140</v>
      </c>
    </row>
    <row r="34" spans="1:4" x14ac:dyDescent="0.25">
      <c r="A34" s="58">
        <v>33</v>
      </c>
      <c r="B34" s="24" t="s">
        <v>139</v>
      </c>
    </row>
    <row r="35" spans="1:4" x14ac:dyDescent="0.25">
      <c r="A35" s="58">
        <v>34</v>
      </c>
      <c r="B35" s="24" t="s">
        <v>141</v>
      </c>
    </row>
    <row r="36" spans="1:4" x14ac:dyDescent="0.25">
      <c r="A36" s="58">
        <v>35</v>
      </c>
      <c r="D36" s="21" t="s">
        <v>127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136</v>
      </c>
    </row>
    <row r="42" spans="1:4" x14ac:dyDescent="0.2">
      <c r="A42" s="36">
        <v>41</v>
      </c>
      <c r="B42" s="24" t="s">
        <v>137</v>
      </c>
    </row>
    <row r="43" spans="1:4" x14ac:dyDescent="0.2">
      <c r="A43" s="36">
        <v>42</v>
      </c>
      <c r="B43" s="24" t="s">
        <v>138</v>
      </c>
    </row>
    <row r="44" spans="1:4" x14ac:dyDescent="0.2">
      <c r="A44" s="36">
        <v>43</v>
      </c>
      <c r="B44" s="24" t="s">
        <v>142</v>
      </c>
    </row>
    <row r="45" spans="1:4" x14ac:dyDescent="0.2">
      <c r="A45" s="36">
        <v>44</v>
      </c>
      <c r="B45" s="24" t="s">
        <v>143</v>
      </c>
    </row>
    <row r="46" spans="1:4" x14ac:dyDescent="0.2">
      <c r="A46" s="36">
        <v>45</v>
      </c>
      <c r="B46" s="24" t="s">
        <v>144</v>
      </c>
    </row>
    <row r="47" spans="1:4" x14ac:dyDescent="0.2">
      <c r="A47" s="36">
        <v>46</v>
      </c>
      <c r="B47" s="24" t="s">
        <v>145</v>
      </c>
    </row>
    <row r="48" spans="1:4" x14ac:dyDescent="0.2">
      <c r="A48" s="36">
        <v>47</v>
      </c>
      <c r="B48" s="24" t="s">
        <v>146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134</v>
      </c>
    </row>
    <row r="56" spans="1:6" x14ac:dyDescent="0.2">
      <c r="A56" s="38">
        <v>55</v>
      </c>
      <c r="B56" s="24" t="s">
        <v>135</v>
      </c>
      <c r="C56" s="21" t="s">
        <v>71</v>
      </c>
    </row>
    <row r="57" spans="1:6" x14ac:dyDescent="0.2">
      <c r="A57" s="38">
        <v>56</v>
      </c>
      <c r="B57" s="24" t="s">
        <v>109</v>
      </c>
    </row>
    <row r="58" spans="1:6" x14ac:dyDescent="0.2">
      <c r="A58" s="38">
        <v>57</v>
      </c>
      <c r="B58" s="24" t="s">
        <v>153</v>
      </c>
    </row>
    <row r="59" spans="1:6" x14ac:dyDescent="0.2">
      <c r="A59" s="105">
        <v>58</v>
      </c>
      <c r="B59" s="24" t="s">
        <v>170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126</v>
      </c>
    </row>
    <row r="78" spans="1:4" x14ac:dyDescent="0.2">
      <c r="A78" s="28">
        <v>77</v>
      </c>
      <c r="B78" s="24" t="s">
        <v>110</v>
      </c>
    </row>
    <row r="79" spans="1:4" x14ac:dyDescent="0.2">
      <c r="A79" s="28">
        <v>78</v>
      </c>
      <c r="B79" s="24" t="s">
        <v>111</v>
      </c>
    </row>
    <row r="80" spans="1:4" x14ac:dyDescent="0.2">
      <c r="A80" s="28">
        <v>79</v>
      </c>
      <c r="B80" s="24" t="s">
        <v>112</v>
      </c>
    </row>
    <row r="81" spans="1:4" x14ac:dyDescent="0.2">
      <c r="A81" s="28">
        <v>80</v>
      </c>
      <c r="B81" s="24" t="s">
        <v>113</v>
      </c>
      <c r="D81" s="21" t="s">
        <v>96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114</v>
      </c>
    </row>
    <row r="86" spans="1:4" x14ac:dyDescent="0.2">
      <c r="A86" s="28">
        <v>85</v>
      </c>
      <c r="B86" s="24" t="s">
        <v>115</v>
      </c>
    </row>
    <row r="87" spans="1:4" x14ac:dyDescent="0.2">
      <c r="A87" s="28">
        <v>86</v>
      </c>
      <c r="B87" s="24" t="s">
        <v>116</v>
      </c>
    </row>
    <row r="88" spans="1:4" x14ac:dyDescent="0.2">
      <c r="A88" s="28">
        <v>87</v>
      </c>
      <c r="B88" s="24" t="s">
        <v>117</v>
      </c>
    </row>
    <row r="89" spans="1:4" x14ac:dyDescent="0.2">
      <c r="A89" s="28">
        <v>88</v>
      </c>
      <c r="B89" s="24" t="s">
        <v>118</v>
      </c>
    </row>
    <row r="90" spans="1:4" x14ac:dyDescent="0.2">
      <c r="A90" s="28">
        <v>89</v>
      </c>
      <c r="B90" s="24" t="s">
        <v>119</v>
      </c>
    </row>
    <row r="91" spans="1:4" x14ac:dyDescent="0.2">
      <c r="A91" s="28">
        <v>90</v>
      </c>
      <c r="B91" s="24" t="s">
        <v>120</v>
      </c>
    </row>
    <row r="92" spans="1:4" x14ac:dyDescent="0.2">
      <c r="A92" s="28">
        <v>91</v>
      </c>
      <c r="B92" s="24" t="s">
        <v>121</v>
      </c>
    </row>
    <row r="93" spans="1:4" x14ac:dyDescent="0.2">
      <c r="A93" s="28">
        <v>92</v>
      </c>
      <c r="B93" s="24" t="s">
        <v>122</v>
      </c>
      <c r="D93" s="21" t="s">
        <v>103</v>
      </c>
    </row>
    <row r="94" spans="1:4" x14ac:dyDescent="0.2">
      <c r="A94" s="28"/>
      <c r="B94" s="24" t="s">
        <v>123</v>
      </c>
      <c r="D94" s="21" t="s">
        <v>104</v>
      </c>
    </row>
    <row r="95" spans="1:4" x14ac:dyDescent="0.2">
      <c r="A95" s="28">
        <v>94</v>
      </c>
      <c r="B95" s="24" t="s">
        <v>124</v>
      </c>
    </row>
    <row r="96" spans="1:4" x14ac:dyDescent="0.2">
      <c r="A96" s="28">
        <v>95</v>
      </c>
      <c r="B96" s="24" t="s">
        <v>125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176</v>
      </c>
      <c r="E110" s="21" t="s">
        <v>54</v>
      </c>
    </row>
    <row r="111" spans="1:5" x14ac:dyDescent="0.2">
      <c r="A111" s="29">
        <v>110</v>
      </c>
      <c r="B111" s="47" t="s">
        <v>93</v>
      </c>
      <c r="E111" s="21" t="s">
        <v>55</v>
      </c>
    </row>
    <row r="112" spans="1:5" x14ac:dyDescent="0.2">
      <c r="A112" s="51">
        <v>111</v>
      </c>
      <c r="B112" s="47" t="s">
        <v>92</v>
      </c>
      <c r="E112" s="21" t="s">
        <v>56</v>
      </c>
    </row>
    <row r="113" spans="1:5" x14ac:dyDescent="0.2">
      <c r="A113" s="16">
        <v>112</v>
      </c>
      <c r="B113" s="47" t="s">
        <v>95</v>
      </c>
      <c r="E113" s="21" t="s">
        <v>57</v>
      </c>
    </row>
    <row r="114" spans="1:5" x14ac:dyDescent="0.2">
      <c r="A114" s="30">
        <v>113</v>
      </c>
      <c r="B114" s="47" t="s">
        <v>94</v>
      </c>
      <c r="E114" s="21" t="s">
        <v>58</v>
      </c>
    </row>
    <row r="115" spans="1:5" x14ac:dyDescent="0.2">
      <c r="A115" s="16">
        <v>114</v>
      </c>
      <c r="B115" s="47" t="s">
        <v>132</v>
      </c>
      <c r="E115" s="21" t="s">
        <v>59</v>
      </c>
    </row>
    <row r="116" spans="1:5" x14ac:dyDescent="0.2">
      <c r="A116" s="16">
        <v>115</v>
      </c>
      <c r="B116" s="47" t="s">
        <v>133</v>
      </c>
      <c r="E116" s="21" t="s">
        <v>60</v>
      </c>
    </row>
    <row r="117" spans="1:5" x14ac:dyDescent="0.2">
      <c r="A117" s="26">
        <v>116</v>
      </c>
      <c r="B117" s="47" t="s">
        <v>128</v>
      </c>
      <c r="E117" s="21" t="s">
        <v>60</v>
      </c>
    </row>
    <row r="118" spans="1:5" x14ac:dyDescent="0.2">
      <c r="A118" s="26">
        <v>117</v>
      </c>
      <c r="B118" s="47" t="s">
        <v>129</v>
      </c>
    </row>
    <row r="119" spans="1:5" x14ac:dyDescent="0.2">
      <c r="A119" s="26">
        <v>118</v>
      </c>
      <c r="B119" s="47" t="s">
        <v>130</v>
      </c>
    </row>
    <row r="120" spans="1:5" x14ac:dyDescent="0.2">
      <c r="A120" s="26">
        <v>119</v>
      </c>
      <c r="B120" s="47" t="s">
        <v>131</v>
      </c>
    </row>
    <row r="121" spans="1:5" x14ac:dyDescent="0.2">
      <c r="A121" s="28">
        <v>120</v>
      </c>
      <c r="B121" s="24" t="s">
        <v>107</v>
      </c>
    </row>
    <row r="122" spans="1:5" x14ac:dyDescent="0.2">
      <c r="A122" s="28">
        <v>121</v>
      </c>
      <c r="B122" s="24" t="s">
        <v>108</v>
      </c>
    </row>
    <row r="123" spans="1:5" x14ac:dyDescent="0.2">
      <c r="A123" s="28">
        <v>122</v>
      </c>
      <c r="B123" s="24" t="s">
        <v>105</v>
      </c>
    </row>
    <row r="124" spans="1:5" x14ac:dyDescent="0.2">
      <c r="A124" s="28">
        <v>123</v>
      </c>
      <c r="B124" s="24" t="s">
        <v>106</v>
      </c>
    </row>
    <row r="125" spans="1:5" x14ac:dyDescent="0.2">
      <c r="A125" s="28">
        <v>124</v>
      </c>
      <c r="B125" s="24" t="s">
        <v>98</v>
      </c>
    </row>
    <row r="126" spans="1:5" x14ac:dyDescent="0.2">
      <c r="A126" s="28">
        <v>125</v>
      </c>
      <c r="B126" s="24" t="s">
        <v>99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2018-01-18T06:10:58Z</dcterms:modified>
</cp:coreProperties>
</file>